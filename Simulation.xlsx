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malik1\OneDrive - MAJID AL FUTTAIM PROPERTIES LLC\Documents\PhD\Updated - Cyber Risk Methodology Paper\Second Round of Review - Updated Paper\"/>
    </mc:Choice>
  </mc:AlternateContent>
  <xr:revisionPtr revIDLastSave="0" documentId="13_ncr:1_{26DF580B-B811-44DF-96F9-A9925B82CE54}" xr6:coauthVersionLast="47" xr6:coauthVersionMax="47" xr10:uidLastSave="{00000000-0000-0000-0000-000000000000}"/>
  <bookViews>
    <workbookView xWindow="-110" yWindow="-110" windowWidth="19420" windowHeight="10300" activeTab="3" xr2:uid="{141884C1-2FCD-48A8-BD40-3379D5363A9F}"/>
  </bookViews>
  <sheets>
    <sheet name="Ransomware" sheetId="1" r:id="rId1"/>
    <sheet name="Evasion" sheetId="5" r:id="rId2"/>
    <sheet name="Poisoning" sheetId="6" r:id="rId3"/>
    <sheet name="Privacy" sheetId="7" r:id="rId4"/>
    <sheet name="ModelRiskDSN" sheetId="2" state="hidden" r:id="rId5"/>
    <sheet name="ModelRiskSYS1" sheetId="3" state="hidden" r:id="rId6"/>
    <sheet name="ModelRiskCharts" sheetId="4" state="hidden" r:id="rId7"/>
  </sheets>
  <definedNames>
    <definedName name="SimOpt_AccountDomain" hidden="1">""</definedName>
    <definedName name="SimOpt_AccountName" hidden="1">""</definedName>
    <definedName name="SimOpt_AccountPassword" hidden="1">""</definedName>
    <definedName name="SimOpt_CheckPrecisionAfter" hidden="1">100</definedName>
    <definedName name="SimOpt_GotoSample" hidden="1">0</definedName>
    <definedName name="SimOpt_Macros0" hidden="1">""</definedName>
    <definedName name="SimOpt_Macros1" hidden="1">""</definedName>
    <definedName name="SimOpt_Macros2" hidden="1">""</definedName>
    <definedName name="SimOpt_Macros3" hidden="1">""</definedName>
    <definedName name="SimOpt_MacrosUsage" hidden="1">0</definedName>
    <definedName name="SimOpt_MinSimBufferSize" hidden="1">5000000</definedName>
    <definedName name="SimOpt_RefreshExcel" hidden="1">0</definedName>
    <definedName name="SimOpt_RefreshRate" hidden="1">10</definedName>
    <definedName name="SimOpt_SamplesCount" hidden="1">10000</definedName>
    <definedName name="SimOpt_Seed0" hidden="1">0</definedName>
    <definedName name="SimOpt_SeedFixed" hidden="1">0</definedName>
    <definedName name="SimOpt_SeedMultiplyType" hidden="1">0</definedName>
    <definedName name="SimOpt_ServerAddress" hidden="1">""</definedName>
    <definedName name="SimOpt_ShowResultsAtEnd" hidden="1">1</definedName>
    <definedName name="SimOpt_ShowSparklines" hidden="1">1</definedName>
    <definedName name="SimOpt_SimName0" hidden="1">""</definedName>
    <definedName name="SimOpt_SimsCount" hidden="1">1</definedName>
    <definedName name="SimOpt_StopOnOutputError" hidden="1">0</definedName>
    <definedName name="SimOpt_UploadEnabled" hidden="1">0</definedName>
    <definedName name="SimOpt_UploadModel" hidden="1">0</definedName>
    <definedName name="SimOpt_UploadProfile" hidden="1">""</definedName>
    <definedName name="SimOpt_UploadRemotely" hidden="1">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7" l="1"/>
  <c r="K13" i="7"/>
  <c r="J13" i="7"/>
  <c r="I13" i="7"/>
  <c r="K12" i="7"/>
  <c r="J12" i="7"/>
  <c r="I12" i="7"/>
  <c r="L7" i="7"/>
  <c r="L5" i="7"/>
  <c r="L6" i="7"/>
  <c r="L9" i="7"/>
  <c r="L10" i="7"/>
  <c r="L11" i="7"/>
  <c r="L13" i="7" l="1"/>
  <c r="L12" i="7"/>
  <c r="A14" i="6"/>
  <c r="K13" i="6"/>
  <c r="J13" i="6"/>
  <c r="I13" i="6"/>
  <c r="K12" i="6"/>
  <c r="J12" i="6"/>
  <c r="I12" i="6"/>
  <c r="L5" i="6"/>
  <c r="L6" i="6"/>
  <c r="L9" i="6"/>
  <c r="L7" i="6"/>
  <c r="L10" i="6"/>
  <c r="L11" i="6"/>
  <c r="L12" i="6" l="1"/>
  <c r="L13" i="6"/>
  <c r="A14" i="5"/>
  <c r="K13" i="5"/>
  <c r="J13" i="5"/>
  <c r="I13" i="5"/>
  <c r="K12" i="5"/>
  <c r="J12" i="5"/>
  <c r="I12" i="5"/>
  <c r="A26" i="1"/>
  <c r="L11" i="5"/>
  <c r="L10" i="5"/>
  <c r="L9" i="5"/>
  <c r="L7" i="5"/>
  <c r="L5" i="5"/>
  <c r="L6" i="5"/>
  <c r="L13" i="5" l="1"/>
  <c r="L12" i="5"/>
  <c r="I25" i="1"/>
  <c r="J25" i="1"/>
  <c r="K25" i="1"/>
  <c r="L17" i="1"/>
  <c r="L5" i="1"/>
  <c r="L9" i="1"/>
  <c r="L22" i="1"/>
  <c r="L20" i="1"/>
  <c r="L14" i="1"/>
  <c r="L25" i="1" l="1"/>
  <c r="K24" i="1"/>
  <c r="J24" i="1"/>
  <c r="I24" i="1"/>
  <c r="L24" i="1" l="1"/>
</calcChain>
</file>

<file path=xl/sharedStrings.xml><?xml version="1.0" encoding="utf-8"?>
<sst xmlns="http://schemas.openxmlformats.org/spreadsheetml/2006/main" count="116" uniqueCount="58">
  <si>
    <t>Loss Component</t>
  </si>
  <si>
    <t>Average</t>
  </si>
  <si>
    <t>Minimum</t>
  </si>
  <si>
    <t>Maximum</t>
  </si>
  <si>
    <t xml:space="preserve">Mean Threat Event Frequency (TEF) </t>
  </si>
  <si>
    <t>Estimated Vulnerability (Bypassing email filtering)</t>
  </si>
  <si>
    <t>Primary Loss</t>
  </si>
  <si>
    <t>Productivity loss</t>
  </si>
  <si>
    <t xml:space="preserve">   Number of hours</t>
  </si>
  <si>
    <t>1 hour</t>
  </si>
  <si>
    <t xml:space="preserve">   Average Number of Staff Affected</t>
  </si>
  <si>
    <t>1 employee</t>
  </si>
  <si>
    <t xml:space="preserve">   Internal bill rate per hour</t>
  </si>
  <si>
    <t>Incident Handling</t>
  </si>
  <si>
    <t xml:space="preserve">  Internal hours spent on incident </t>
  </si>
  <si>
    <t xml:space="preserve">  Internal billing rate per hour </t>
  </si>
  <si>
    <t xml:space="preserve">  External hours spent on incident handling </t>
  </si>
  <si>
    <t xml:space="preserve">  Average hourly rate for external consultant </t>
  </si>
  <si>
    <t>Replacement Cost</t>
  </si>
  <si>
    <t xml:space="preserve">  Direct replacement cost</t>
  </si>
  <si>
    <t>Secondary Loss</t>
  </si>
  <si>
    <t>Customer Reputational Loss</t>
  </si>
  <si>
    <t xml:space="preserve">  Customer loss</t>
  </si>
  <si>
    <t xml:space="preserve">  Price for loss of customer</t>
  </si>
  <si>
    <r>
      <t>Liability to  3</t>
    </r>
    <r>
      <rPr>
        <vertAlign val="superscript"/>
        <sz val="9"/>
        <color rgb="FFEFEADD"/>
        <rFont val="Calibri"/>
      </rPr>
      <t>rd</t>
    </r>
    <r>
      <rPr>
        <sz val="9"/>
        <color rgb="FFEFEADD"/>
        <rFont val="Calibri"/>
      </rPr>
      <t xml:space="preserve"> Parties</t>
    </r>
  </si>
  <si>
    <r>
      <t xml:space="preserve">   Liability to 3</t>
    </r>
    <r>
      <rPr>
        <vertAlign val="superscript"/>
        <sz val="9"/>
        <color rgb="FFEFEADD"/>
        <rFont val="Calibri"/>
      </rPr>
      <t>rd</t>
    </r>
    <r>
      <rPr>
        <sz val="9"/>
        <color rgb="FFEFEADD"/>
        <rFont val="Calibri"/>
      </rPr>
      <t xml:space="preserve"> Parties</t>
    </r>
  </si>
  <si>
    <t>Regulatory Fines</t>
  </si>
  <si>
    <t xml:space="preserve">   Fine loss</t>
  </si>
  <si>
    <t>Subtotal (Primary + Secondary Loss)</t>
  </si>
  <si>
    <t>Most Likely</t>
  </si>
  <si>
    <t>DSN Files Count:</t>
  </si>
  <si>
    <t>Charts</t>
  </si>
  <si>
    <t>4 hours</t>
  </si>
  <si>
    <t>16 hours</t>
  </si>
  <si>
    <t>15 employees</t>
  </si>
  <si>
    <t>100 employees</t>
  </si>
  <si>
    <t>100 customers</t>
  </si>
  <si>
    <t>500 customers</t>
  </si>
  <si>
    <t>1000 customers</t>
  </si>
  <si>
    <t>Sub Total (Minimum in USD)</t>
  </si>
  <si>
    <t>Sub Total (Most Likely in USD)</t>
  </si>
  <si>
    <t>Sub Total (Maximum in USD)</t>
  </si>
  <si>
    <t>Random value (in USD)</t>
  </si>
  <si>
    <t>Annualized Loss Expectancy = Mean TEF * Estimated Vulnerability * Average Loss Magnitude (Primary Loss + Secondary Loss)</t>
  </si>
  <si>
    <t>Productivity Loss (model drift, false
predictions)</t>
  </si>
  <si>
    <t>Incident Response Costs (analysis,
triage)</t>
  </si>
  <si>
    <t>System Tuning / Re-Training</t>
  </si>
  <si>
    <t xml:space="preserve">Reputational Damage (trust erosion) </t>
  </si>
  <si>
    <t>Third-Party Liability (model misuse)</t>
  </si>
  <si>
    <t>Regulatory Fines (e.g., model bias,
compliance)</t>
  </si>
  <si>
    <t>CgBUAFAAOgAxAA0ACgBSAEcAOgAwAA0ACgBOAE0AOgAnAFsAIwAjAFQASABJAFMAVwBCACMAIwBdAEUAdgBhAHMAaQBvAG4AJwAhAEwAJAAxADEADQAKAEMATABSADoAOAA3ADQAMQAzADkAMQANAAoAVABSAEEATgBTAFAAOgA1ADAADQAKAFMASQBNADoAMAANAAoAPABTAEUATABfAE8AUABUAEkATwBOAFMAPgANAAoAQwBOAFQAOgAwAA0ACgA8AC8AUwBFAEwAXwBPAFAAVABJAE8ATgBTAD4ADQAKAFQAUAA6ADEADQAKAFIARwA6ADAADQAKAE4ATQA6ACcAWwAjACMAVABIAEkAUwBXAEIAIwAjAF0AUgBhAG4AcwBvAG0AdwBhAHIAZQAnACEATAAkADEANAANAAoAQwBMAFIAOgAxADQAMgA2ADUAMAAyADYADQAKAFQAUgBBAE4AUwBQADoANQAwAA0ACgBTAEkATQA6ADAADQAKADwAUwBFAEwAXwBPAFAAVABJAE8ATgBTAD4ADQAKAEMATgBUADoAMAANAAoAPAAvAFMARQBMAF8ATwBQAFQASQBPAE4AUwA+AA0ACgBUAFAAOgAxAA0ACgBSAEcAOgAwAA0ACgBOAE0AOgAnAFsAIwAjAFQASABJAFMAVwBCACMAIwBdAEUAdgBhAHMAaQBvAG4AJwAhAEwAJAA5AA0ACgBDAEwAUgA6ADUAOAAzADYANwANAAoAVABSAEEATgBTAFAAOgA1ADAADQAKAFMASQBNADoAMAANAAoAPABTAEUATABfAE8AUABUAEkATwBOAFMAPgANAAoAQwBOAFQAOgAwAA0ACgA8AC8AUwBFAEwAXwBPAFAAVABJAE8ATgBTAD4ADQAKAFQAUAA6ADEADQAKAFIARwA6ADAADQAKAE4ATQA6ACcAWwAjACMAVABIAEkAUwBXAEIAIwAjAF0ARQB2AGEAcwBpAG8AbgAnACEATAAkADcADQAKAEMATABSADoAMgA2ADUANgA1ADAADQAKAFQAUgBBAE4AUwBQADoANQAwAA0ACgBTAEkATQA6ADAADQAKADwAUwBFAEwAXwBPAFAAVABJAE8ATgBTAD4ADQAKAEMATgBUADoAMAANAAoAPAAvAFMARQBMAF8ATwBQAFQASQBPAE4AUwA+AA0ACgBUAFAAOgAxAA0ACgBSAEcAOgAwAA0ACgBOAE0AOgAnAFsAIwAjAFQASABJAFMAVwBCACMAIwBdAEUAdgBhAHMAaQBvAG4AJwAhAEwAJAAxADAADQAKAEMATABSADoAMgA4ADYANQAyADYAOQANAAoAVABSAEEATgBTAFAAOgA1ADAADQAKAFMASQBNADoAMAANAAoAPABTAEUATABfAE8AUABUAEkATwBOAFMAPgANAAoAQwBOAFQAOgAwAA0ACgA8AC8AUwBFAEwAXwBPAFAAVABJAE8ATgBTAD4ADQAKADwATwBQAFQASQBPAE4AUwA+AA0ACgBDAE4AVAA6ADcANwANAAoATgBNADoAQwBoAGEAcgB0AF8AVABpAHQAbABlAA0ACgBUAFAAOgAyAA0ACgBWAEEATAA6AA0ACgBOAE0AOgBtAG8AZABlAA0ACgBUAFAAOgAwAA0ACgBWAEEATAA6ADQADQAKAE4ATQA6AHAAZQByAGMAZQBuAHQAaQBsAGUADQAKAFQAUAA6ADEADQAKAFYAQQBMADoAMAAuADkAMAAwADAAMAAwADAAMAAwADAADQAKAE4ATQA6AHQAcgBhAG4AYwBoAGUAcwANAAoAVABQADoAMAANAAoAVgBBAEwAOgAxADAADQAKAE4ATQA6AG0AYQB4AF8AYgBhAHIAcwANAAoAVABQADoAMAANAAoAVgBBAEwAOgAyADEANAA3ADQAOAAzADYANAA3AA0ACgBOAE0AOgBPAHYAZQByAGwAYQB5AFYAYQByAHMADQAKAFQAUAA6ADAADQAKAFYAQQBMADoAMgANAAoATgBNADoAQwBoAGEAcgB0AF8AUwBoAG8AdwBUAGkAdABsAGUADQAKAFQAUAA6ADAADQAKAFYAQQBMADoAMQANAAoATgBNADoAQwBoAGEAcgB0AF8AVABpAHQAbABlAEMAbwBsAG8AcgANAAoAVABQADoAMAANAAoAVgBBAEwAOgAwAA0ACgBOAE0AOgBDAGgAYQByAHQAXwBUAGkAdABsAGUARgBvAG4AdAANAAoAVABQADoAMgANAAoAVgBBAEwAOgAjAEYATwBOAFQAIwAjACMAIwA5ADIAOgA4AFAALwAvAC8AdwBBAEEAQQBBAEEAQQBBAEEAQQBBAEEAQQBBAEEAQQBMAHcAQwBBAEEAQQBBAEEAQQBBAEEAQQB3AEkAQgBJAGsARQBBAGMAZwBCAHAAQQBHAEUAQQBiAEEAQQBBAEEAQQBBAEEAQQBBAEEAQQBBAEEAQQBBAEEAQQBBAEEAQQBBAEEAQQBBAEEAQQBBAEEAQQBBAEEAQQBBAEEAQQBBAEEAQQBBAEEAQQBBAEEAQQBBAEEAQQBBAEEAQQBBAEEAQQBBAEEAQQBBAEEAQQBBAEEAQQBBAEEAQQBBAEEAQQBBAEEAQQBBAEEAQQA9AA0ACgBOAE0AOgBsAGUAZwBlAG4AZAANAAoAVABQADoAMAANAAoAVgBBAEwAOgAwAA0ACgBOAE0AOgBDAGgAYQByAHQAXwBMAGUAZwBlAG4AZABDAG8AbABvAHIADQAKAFQAUAA6ADAADQAKAFYAQQBMADoAMAANAAoATgBNADoAQwBoAGEAcgB0AF8ATABlAGcAZQBuAGQARgBvAG4AdAANAAoAVABQADoAMgANAAoAVgBBAEwAOgAjAEYATwBOAFQAIwAjACMAIwA5ADIAOgA5AGYALwAvAC8AdwBBAEEAQQBBAEEAQQBBAEEAQQBBAEEAQQBBAEEAQQBKAEEAQgBBAEEAQQBBAEEAQQBBAEEAQQB3AEkAQgBJAGsARQBBAGMAZwBCAHAAQQBHAEUAQQBiAEEAQQBBAEEAQQBBAEEAQQBBAEEAQQBBAEEAQQBBAEEAQQBBAEEAQQBBAEEAQQBBAEEAQQBBAEEAQQBBAEEAQQBBAEEAQQBBAEEAQQBBAEEAQQBBAEEAQQBBAEEAQQBBAEEAQQBBAEEAQQBBAEEAQQBBAEEAQQBBAEEAQQBBAEEAQQBBAEEAQQBBAEEAQQBBAEEAQQA9AA0ACgBOAE0AOgBDAGgAYQByAHQAXwBCAEsAQwBvAGwAbwByAA0ACgBUAFAAOgAwAA0ACgBWAEEATAA6ADEANgA3ADcANwAyADEANQANAAoATgBNADoAQwBoAGEAcgB0AF8AQgBvAHgAQwBvAGwAbwByAA0ACgBUAFAAOgAwAA0ACgBWAEEATAA6ADEANgA3ADcANwAyADEANQANAAoATgBNADoAVABkAG8AXwBPAHYAZQByAGwAYQB5AE4AYQBtAGUAcwANAAoAVABQADoAMAANAAoAVgBBAEwAOgAwAA0ACgBOAE0AOgBUAGQAbwBfAE8AdgBlAHIAbABhAHkAVgBhAGwAdQBlAHMADQAKAFQAUAA6ADAADQAKAFYAQQBMADoAMQANAAoATgBNADoAQQBsAGwAbwB3AEMAaABhAHIAdABTAGMAcgBvAGwAbAANAAoAVABQADoAMAANAAoAVgBBAEwAOgAxAA0ACgBOAE0AOgBSAGEAbgBrAEYAcgBvAG0ADQAKAFQAUAA6ADAADQAKAFYAQQBMADoAMQANAAoATgBNADoAUgBhAG4AawBUAG8ADQAKAFQAUAA6ADAADQAKAFYAQQBMADoAMgAwAA0ACgBOAE0AOgBTAGgAbwB3AE4AVAByAGEAbgBjAGgAZQBzAA0ACgBUAFAAOgAwAA0ACgBWAEEATAA6ADAADQAKAE4ATQA6AGIATwBuAGUAQwBvAGwAbwByAEYAbwByAEEAbABsAEIAYQByAHMADQAKAFQAUAA6ADAADQAKAFYAQQBMADoAMAANAAoATgBNADoAYwBsAHIATwBuAGUAQwBvAGwAbwByAEYAbwByAEEAbABsAEIAYQByAHMADQAKAFQAUAA6ADAADQAKAFYAQQBMADoAMQA2ADcANgA3ADEAOQAyAA0ACgBOAE0AOgBTAGgAbwB3AEYAcgBvAG0ADQAKAFQAUAA6ADAADQAKAFYAQQBMADoALQAxAA0ACgBOAE0AOgBTAGgAbwB3AFQAbwANAAoAVABQADoAMAANAAoAVgBBAEwAOgAtADEADQAKAE4ATQA6AFgAXwBBAHgAaQBzAF8AQQB1AHQAbwBzAGMAYQBsAGUADQAKAFQAUAA6ADAADQAKAFYAQQBMADoAMQANAAoATgBNADoAWABfAEEAeABpAHMAXwBNAGkAbgANAAoAVABQADoAMQANAAoAVgBBAEwAOgBOAEEATgANAAoATgBNADoAWABfAEEAeABpAHMAXwBNAGEAeAANAAoAVABQADoAMQANAAoAVgBBAEwAOgBOAEEATgANAAoATgBNADoAWABfAEEAeABpAHMAXwBTAHQAZQBwAA0ACgBUAFAAOgAxAA0ACgBWAEEATAA6AE4AQQBOAA0ACgBOAE0AOgBYAF8AQQB4AGkAcwBfAFMAYwBhAGwAZQBGAGEAYwB0AG8AcgANAAoAVABQADoAMQANAAoAVgBBAEwAOgBOAEEATgANAAoATgBNADoAWABfAEEAeABpAHMAXwBGAG8AcgBtAGEAdAANAAoAVABQADoAMAANAAoAVgBBAEwAOgAtADEADQAKAE4ATQA6AFgAXwBBAHgAaQBzAF8AQwB1AHMAdABvAG0ARgBvAHIAbQBhAHQADQAKAFQAUAA6ADIADQAKAFYAQQBMADoADQAKAE4ATQA6AFgAXwBBAHgAaQBzAF8ATABvAGcAYQByAGkAdABoAG0AaQBjAA0ACgBUAFAAOgAwAA0ACgBWAEEATAA6ADAADQAKAE4ATQA6AFgAXwBBAHgAaQBzAF8ARABlAGMAaQBtAGEAbABzAA0ACgBUAFAAOgAxAA0ACgBWAEEATAA6AE4AQQBOAA0ACgBOAE0AOgBYAF8AQQB4AGkAcwBfAEQAZQBjAGkAbQBhAGwAcwBEAGEAdABhAA0ACgBUAFAAOgAxAA0ACgBWAEEATAA6AE4AQQBOAA0ACgBOAE0AOgBYAF8AQQB4AGkAcwBfAFMAaABvAHcAVABpAHQAbABlAA0ACgBUAFAAOgAwAA0ACgBWAEEATAA6ADEADQAKAE4ATQA6AFgAXwBBAHgAaQBzAF8AVABpAHQAbABlAEMAbwBsAG8AcgANAAoAVABQADoAMAANAAoAVgBBAEwAOgAwAA0ACgBOAE0AOgBYAF8AQQB4AGkAcwBfAEMAdQBzAHQAbwBtAFQAaQB0AGwAZQANAAoAVABQADoAMAANAAoAVgBBAEwAOgAwAA0ACgBOAE0AOgBYAF8AQQB4AGkAcwBfAFQAaQB0AGwAZQANAAoAVABQADoAMgANAAoAVgBBAEwAOgANAAoATgBNADoAWABfAEEAeABpAHMAXwBUAGkAdABsAGUARgBvAG4AdAANAAoAVABQADoAMgANAAoAVgBBAEwAOgAjAEYATwBOAFQAIwAjACMAIwA5ADIAOgA5AGYALwAvAC8AdwBBAEEAQQBBAEEAQQBBAEEAQQBBAEEAQQBBAEEAQQBMAHcAQwBBAEEAQQBBAEEAQQBBAEEAQQB3AEkAQgBJAGsARQBBAGMAZwBCAHAAQQBHAEUAQQBiAEEAQQBBAEEAQQBBAEEAQQBBAEEAQQBBAEEAQQBBAEEAQQBBAEEAQQBBAEEAQQBBAEEAQQBBAEEAQQBBAEEAQQBBAEEAQQBBAEEAQQBBAEEAQQBBAEEAQQBBAEEAQQBBAEEAQQBBAEEAQQBBAEEAQQBBAEEAQQBBAEEAQQBBAEEAQQBBAEEAQQBBAEEAQQBBAEEAQQA9AA0ACgBOAE0AOgBYAF8AQQB4AGkAcwBfAFMAaABvAHcARwByAGkAZABsAGkAbgBlAHMADQAKAFQAUAA6ADAADQAKAFYAQQBMADoAMAANAAoATgBNADoAWABfAEEAeABpAHMAXwBHAHIAaQBkAGwAaQBuAGUAQwBvAGwAbwByAA0ACgBUAFAAOgAwAA0ACgBWAEEATAA6ADEAMAAwADcAMAAxADgAOAANAAoATgBNADoAWABfAEEAeABpAHMAXwBHAHIAaQBkAGwAaQBuAGUAcwBTAHQAeQBsAGUADQAKAFQAUAA6ADAADQAKAFYAQQBMADoAMAANAAoATgBNADoAWABfAEEAeABpAHMAXwBHAHIAaQBkAGwAaQBuAGUAcwBXAGUAaQBnAGgAdAANAAoAVABQADoAMAANAAoAVgBBAEwAOgAxAA0ACgBOAE0AOgBYAF8AQQB4AGkAcwBfAEkAbgB0AGUAcgBsAGEAYwBlAA0ACgBUAFAAOgAwAA0ACgBWAEEATAA6ADAADQAKAE4ATQA6AFgAXwBBAHgAaQBzAF8ASQBuAHQAZQByAGwAYQBjAGUAQwBvAGwAbwByAA0ACgBUAFAAOgAwAA0ACgBWAEEATAA6ADEANAA4ADcAMgA1ADYAMQANAAoATgBNADoAWABfAEEAeABpAHMAXwBUAGkAYwBrAE0AYQByAGsADQAKAFQAUAA6ADAADQAKAFYAQQBMADoAMQANAAoATgBNADoAWABfAEEAeABpAHMAXwBMAGEAYgBlAGwAcwBTAHQAYQBnAGcAZQByAGUAZAANAAoAVABQADoAMAANAAoAVgBBAEwAOgAwAA0ACgBOAE0AOgBYAF8AQQB4AGkAcwBfAEwAYQBiAGUAbABzAEEAbgBnAGwAZQANAAoAVABQADoAMQANAAoAVgBBAEwAOgBOAEEATgANAAoATgBNADoAWABfAEEAeABpAHMAXwBMAGEAYgBlAGwAcwBDAG8AbABvAHIADQAKAFQAUAA6ADAADQAKAFYAQQBMADoAMAANAAoATgBNADoAWABfAEEAeABpAHMAXwBMAGEAYgBlAGwAcwBGAG8AbgB0AA0ACgBUAFAAOgAyAA0ACgBWAEEATAA6ACMARgBPAE4AVAAjACMAIwAjADkAMgA6ADkAZgAvAC8ALwB3AEEAQQBBAEEAQQBBAEEAQQBBAEEAQQBBAEEAQQBBAEoAQQBCAEEAQQBBAEEAQQBBAEEAQQBBAHcASQBCAEkAawBFAEEAYwBnAEIAcABBAEcARQBBAGIAQQBBAEEAQQBBAEEAQQBBAEEAQQBBAEEAQQBBAEEAQQBBAEEAQQBBAEEAQQBBAEEAQQBBAEEAQQBBAEEAQQBBAEEAQQBBAEEAQQBBAEEAQQBBAEEAQQBBAEEAQQBBAEEAQQBBAEEAQQBBAEEAQQBBAEEAQQBBAEEAQQBBAEEAQQBBAEEAQQBBAEEAQQBBAEEAQQBBAD0ADQAKAE4ATQA6AFkAXwBUAGQAbwBEAGkAcwBwAGwAYQB5AA0ACgBUAFAAOgAwAA0ACgBWAEEATAA6ADEADQAKAE4ATQA6AFkAXwBBAHgAaQBzAF8AQQB1AHQAbwBzAGMAYQBsAGUADQAKAFQAUAA6ADAADQAKAFYAQQBMADoAMQANAAoATgBNADoAWQBfAEEAeABpAHMAXwBNAGkAbgANAAoAVABQADoAMQANAAoAVgBBAEwAOgBOAEEATgANAAoATgBNADoAWQBfAEEAeABpAHMAXwBNAGEAeAANAAoAVABQADoAMQANAAoAVgBBAEwAOgBOAEEATgANAAoATgBNADoAWQBfAEEAeABpAHMAXwBTAHQAZQBwAA0ACgBUAFAAOgAxAA0ACgBWAEEATAA6AE4AQQBOAA0ACgBOAE0AOgBZAF8AQQB4AGkAcwBfAFMAYwBhAGwAZQBGAGEAYwB0AG8AcgANAAoAVABQADoAMQANAAoAVgBBAEwAOgBOAEEATgANAAoATgBNADoAWQBfAEEAeABpAHMAXwBGAG8AcgBtAGEAdAANAAoAVABQADoAMAANAAoAVgBBAEwAOgAtADEADQAKAE4ATQA6AFkAXwBBAHgAaQBzAF8AQwB1AHMAdABvAG0ARgBvAHIAbQBhAHQADQAKAFQAUAA6ADIADQAKAFYAQQBMADoADQAKAE4ATQA6AFkAXwBBAHgAaQBzAF8ATABvAGcAYQByAGkAdABoAG0AaQBjAA0ACgBUAFAAOgAwAA0ACgBWAEEATAA6ADAADQAKAE4ATQA6AFkAXwBBAHgAaQBzAF8ARABlAGMAaQBtAGEAbABzAA0ACgBUAFAAOgAxAA0ACgBWAEEATAA6AE4AQQBOAA0ACgBOAE0AOgBZAF8AQQB4AGkAcwBfAEQAZQBjAGkAbQBhAGwAcwBEAGEAdABhAA0ACgBUAFAAOgAxAA0ACgBWAEEATAA6AE4AQQBOAA0ACgBOAE0AOgBZAF8AQQB4AGkAcwBfAFMAaABvAHcAVABpAHQAbABlAA0ACgBUAFAAOgAwAA0ACgBWAEEATAA6ADEADQAKAE4ATQA6AFkAXwBBAHgAaQBzAF8AVABpAHQAbABlAEMAbwBsAG8AcgANAAoAVABQADoAMAANAAoAVgBBAEwAOgAwAA0ACgBOAE0AOgBZAF8AQQB4AGkAcwBfAEMAdQBzAHQAbwBtAFQAaQB0AGwAZQANAAoAVABQADoAMAANAAoAVgBBAEwAOgAwAA0ACgBOAE0AOgBZAF8AQQB4AGkAcwBfAFQAaQB0AGwAZQANAAoAVABQADoAMgANAAoAVgBBAEwAOgANAAoATgBNADoAWQBfAEEAeABpAHMAXwBUAGkAdABsAGUARgBvAG4AdAANAAoAVABQADoAMgANAAoAVgBBAEwAOgAjAEYATwBOAFQAIwAjACMAIwA5ADIAOgA5AGYALwAvAC8AdwBBAEEAQQBBAEEAQQBBAEEAQQBBAEEAQQBBAEEAQQBMAHcAQwBBAEEAQQBBAEEAQQBBAEEAQQB3AEkAQgBJAGsARQBBAGMAZwBCAHAAQQBHAEUAQQBiAEEAQQBBAEEAQQBBAEEAQQBBAEEAQQBBAEEAQQBBAEEAQQBBAEEAQQBBAEEAQQBBAEEAQQBBAEEAQQBBAEEAQQBBAEEAQQBBAEEAQQBBAEEAQQBBAEEAQQBBAEEAQQBBAEEAQQBBAEEAQQBBAEEAQQBBAEEAQQBBAEEAQQBBAEEAQQBBAEEAQQBBAEEAQQBBAEEAQQA9AA0ACgBOAE0AOgBZAF8AQQB4AGkAcwBfAFMAaABvAHcARwByAGkAZABsAGkAbgBlAHMADQAKAFQAUAA6ADAADQAKAFYAQQBMADoAMAANAAoATgBNADoAWQBfAEEAeABpAHMAXwBHAHIAaQBkAGwAaQBuAGUAQwBvAGwAbwByAA0ACgBUAFAAOgAwAA0ACgBWAEEATAA6ADEAMAAwADcAMAAxADgAOAANAAoATgBNADoAWQBfAEEAeABpAHMAXwBHAHIAaQBkAGwAaQBuAGUAcwBTAHQAeQBsAGUADQAKAFQAUAA6ADAADQAKAFYAQQBMADoAMAANAAoATgBNADoAWQBfAEEAeABpAHMAXwBHAHIAaQBkAGwAaQBuAGUAcwBXAGUAaQBnAGgAdAANAAoAVABQADoAMAANAAoAVgBBAEwAOgAxAA0ACgBOAE0AOgBZAF8AQQB4AGkAcwBfAEkAbgB0AGUAcgBsAGEAYwBlAA0ACgBUAFAAOgAwAA0ACgBWAEEATAA6ADAADQAKAE4ATQA6AFkAXwBBAHgAaQBzAF8ASQBuAHQAZQByAGwAYQBjAGUAQwBvAGwAbwByAA0ACgBUAFAAOgAwAA0ACgBWAEEATAA6ADEANAA4ADcAMgA1ADYAMQANAAoATgBNADoAWQBfAEEAeABpAHMAXwBUAGkAYwBrAE0AYQByAGsADQAKAFQAUAA6ADAADQAKAFYAQQBMADoAMQANAAoATgBNADoAWQBfAEEAeABpAHMAXwBMAGEAYgBlAGwAcwBTAHQAYQBnAGcAZQByAGUAZAANAAoAVABQADoAMAANAAoAVgBBAEwAOgAwAA0ACgBOAE0AOgBZAF8AQQB4AGkAcwBfAEwAYQBiAGUAbABzAEEAbgBnAGwAZQANAAoAVABQADoAMQANAAoAVgBBAEwAOgBOAEEATgANAAoATgBNADoAWQBfAEEAeABpAHMAXwBMAGEAYgBlAGwAcwBDAG8AbABvAHIADQAKAFQAUAA6ADAADQAKAFYAQQBMADoAMAANAAoATgBNADoAWQBfAEEAeABpAHMAXwBMAGEAYgBlAGwAcwBGAG8AbgB0AA0ACgBUAFAAOgAyAA0ACgBWAEEATAA6ACMARgBPAE4AVAAjACMAIwAjADkAMgA6ADkAZgAvAC8ALwB3AEEAQQBBAEEAQQBBAEEAQQBBAEEAQQBBAEEAQQBBAEoAQQBCAEEAQQBBAEEAQQBBAEEAQQBBAHcASQBCAEkAawBFAEEAYwBnAEIAcABBAEcARQBBAGIAQQBBAEEAQQBBAEEAQQBBAEEAQQBBAEEAQQBBAEEAQQBBAEEAQQBBAEEAQQBBAEEAQQBBAEEAQQBBAEEAQQBBAEEAQQBBAEEAQQBBAEEAQQBBAEEAQQBBAEEAQQBBAEEAQQBBAEEAQQBBAEEAQQBBAEEAQQBBAEEAQQBBAEEAQQBBAEEAQQBBAEEAQQBBAEEAQQBBAD0ADQAKADwALwBPAFAAVABJAE8ATgBTAD4ADQAKADwALwBQAEEARwBFAFMAPgANAAoA</t>
  </si>
  <si>
    <t>Unauthorized Data Disclosure</t>
  </si>
  <si>
    <t>Incident Response Costs (contain-
ment, forensics)
triage)</t>
  </si>
  <si>
    <t>System Remediation / Model Updates</t>
  </si>
  <si>
    <t>Third-Party Liability (customer
claims)</t>
  </si>
  <si>
    <t>Regulatory Fines (e.g., GDPR / CCPA)</t>
  </si>
  <si>
    <t>NQAwADAAMAAwADAAMAAwADAADQAKAE4ATQA6AEgAUwBTAGwAaQBkAGUAcgBfAFAAMgANAAoAVABQADoAMQANAAoAVgBBAEwAOgAwAC4AOQAwADMANQAwADkANgA0ADkAMAANAAoATgBNADoASABTAFMAbABpAGQAZQByAF8AWAAxAA0ACgBUAFAAOgAxAA0ACgBWAEEATAA6ADcAMgA0ADMAMwA5AC4AMwAyADMAMgAyADUANgAwADgANAANAAoATgBNADoASABTAFMAbABpAGQAZQByAF8AWAAyAA0ACgBUAFAAOgAxAA0ACgBWAEEATAA6ADEANAA2ADYANgA3ADkALgAwADIAOQA5ADEAOQA4ADYANAAxAA0ACgBOAE0AOgBIAFMAUwBsAGkAZABlAHIAXwBMAGEAYgBlAGwAVAB5AHAAZQANAAoAVABQADoAMAANAAoAVgBBAEwAOgAyAA0ACgBOAE0AOgBIAFMAUwBsAGkAZABlAHIAXwBGAG8AbgB0AA0ACgBUAFAAOgAyAA0ACgBWAEEATAA6ACMARgBPAE4AVAAjACMAIwAjADkAMgA6ADkAUAAvAC8ALwB3AEEAQQBBAEEAQQBBAEEAQQBBAEEAQQBBAEEAQQBBAEoAQQBCAEEAQQBBAEEAQQBBAEQATQBBAHcASQBCAEkAawBFAEEAYwBnAEIAcABBAEcARQBBAGIAQQBBAEEAQQBBAEEAQQBBAEEAQQBBAEEAQQBBAEEAQQBBAEEAQQBBAEEAQQBBAEEAQQBBAEEAQQBBAEEAQQBBAEEAQQBBAEEAQQBBAEEAQQBBAEEAQQBBAEEAQQBBAEEAQQBBAEEAQQBBAEEAQQBBAEEAQQBBAEEAQQBBAEEAQQBBAEEAQQBBAEEAQQBBAEEAQQBBAD0ADQAKAE4ATQA6AEgAUwBTAGwAaQBkAGUAcgBfAEMAbwBsAG8AcgAxAA0ACgBUAFAAOgAwAA0ACgBWAEEATAA6ADMANgA4ADMANQAzADcADQAKAE4ATQA6AEgAUwBTAGwAaQBkAGUAcgBfAEMAbwBsAG8AcgAyAA0ACgBUAFAAOgAwAA0ACgBWAEEATAA6ADEAMgAwADkAMQA5ADgAMQANAAoATgBNADoASABTAFMAbABpAGQAZQByAF8AUwBoAGEAZABpAG4AZwBUAHkAcABlAA0ACgBUAFAAOgAwAA0ACgBWAEEATAA6ADAADQAKAE4ATQA6AEgAUwBTAGwAaQBkAGUAcgBfAFMAaABhAGQAaQBuAGcAUABhAHQAdABlAHIAbgANAAoAVABQADoAMAANAAoAVgBBAEwAOgAtADEADQAKAE4ATQA6AEgAUwBIAGUAYQBkAGUAcgBTAGUAYwB0AF8AQwBvAGwAbwByAE8AdQB0AA0ACgBUAFAAOgAwAA0ACgBWAEEATAA6ADEANgA3ADEAMQA2ADgAMAANAAoATgBNADoASABTAEgAZQBhAGQAZQByAFMAZQBjAHQAXwBDAG8AbABvAHIASQBuAA0ACgBUAFAAOgAwAA0ACgBWAEEATAA6ADIANQA1AA0ACgBOAE0AOgBIAFMASABlAGEAZABlAHIAUwBlAGMAdABfAEMAbwBsAG8AcgBUAGUAeAB0AA0ACgBUAFAAOgAwAA0ACgBWAEEATAA6ADEANgA3ADcANwAyADEANQANAAoATgBNADoASABTAEgAZQBhAGQAZQByAFMAZQBjAHQAXwBGAG8AbgB0AA0ACgBUAFAAOgAyAA0ACgBWAEEATAA6ACMARgBPAE4AVAAjACMAIwAjADkAMgA6ADkAUAAvAC8ALwB3AEEAQQBBAEEAQQBBAEEAQQBBAEEAQQBBAEEAQQBBAEwAdwBDAEEAQQBBAEEAQQBBAEQATQBBAHcASQBCAEkAawBNAEEAYgB3AEIAMQBBAEgASQBBAGEAUQBCAGwAQQBIAEkAQQBJAEEAQgBPAEEARwBVAEEAZAB3AEEAQQBBAEEAQQBBAEEAQQBBAEEAQQBBAEEAQQBBAEEAQQBBAEEAQQBBAEEAQQBBAEEAQQBBAEEAQQBBAEEAQQBBAEEAQQBBAEEAQQBBAEEAQQBBAEEAQQBBAEEAQQBBAEEAQQBBAEEAQQBBAEEAQQBBAD0ADQAKAE4ATQA6AEgAUwBfAFgAXwBEAGUAYwBpAG0AYQBsAHMADQAKAFQAUAA6ADEADQAKAFYAQQBMADoAbgBhAG4ADQAKAE4ATQA6AEgAUwBfAFAAXwBEAGUAYwBpAG0AYQBsAHMADQAKAFQAUAA6ADEADQAKAFYAQQBMADoAbgBhAG4ADQAKAE4ATQA6AFMAaABvAHcATQBhAHIAawBlAHIAcwANAAoAVABQADoAMAANAAoAVgBBAEwAOgAxAA0ACgBOAE0AOgBNAGEAcgBrAGUAcgBzAE4AdQBtAGIAZQByAA0ACgBUAFAAOgAwAA0ACgBWAEEATAA6ADQADQAKAE4ATQA6AEgAUwBNAGEAcgBrAGUAcgBTAGgAbwB3ADAADQAKAFQAUAA6ADAADQAKAFYAQQBMADoAMAANAAoATgBNADoASABTAE0AYQByAGsAZQByAFQAeQBwAGUAMAANAAoAVABQADoAMAANAAoAVgBBAEwAOgAzAA0ACgBOAE0AOgBIAFMATQBhAHIAawBlAHIAVgBhAGwAdQBlADAADQAKAFQAUAA6ADEADQAKAFYAQQBMADoAMAANAAoATgBNADoASABTAE0AYQByAGsAZQByAEwAYQBiAGUAbABUAHkAcABlADAADQAKAFQAUAA6ADAADQAKAFYAQQBMADoAMQANAAoATgBNADoASABTAE0AYQByAGsAZQByAEYAbwBuAHQAMAANAAoAVABQADoAMgANAAoAVgBBAEwAOgAjAEYATwBOAFQAIwAjACMAIwA5ADIAOgA5AFAALwAvAC8AdwBBAEEAQQBBAEEAQQBBAEEAQQBBAEEAQQBBAEEAQQBMAHcAQwBBAEEAQQBBAEEAQQBEAE0AQQB3AEkAQgBJAGsARQBBAGMAZwBCAHAAQQBHAEUAQQBiAEEAQQBBAEEAQQBBAEEAQQBBAEEAQQBBAEEAQQBBAEEAQQBBAEEAQQBBAEEAQQBBAEEAQQBBAEEAQQBBAEEAQQBBAEEAQQBBAEEAQQBBAEEAQQBBAEEAQQBBAEEAQQBBAEEAQQBBAEEAQQBBAEEAQQBBAEEAQQBBAEEAQQBBAEEAQQBBAEEAQQBBAEEAQQBBAEEAQQA9AA0ACgBOAE0AOgBIAFMATQBhAHIAawBlAHIAQwBsAHIAVABlAHgAdAAwAA0ACgBUAFAAOgAwAA0ACgBWAEEATAA6ADEAMgAwADkAMQA5ADgAMQANAAoATgBNADoASABTAE0AYQByAGsAZQByAEMAbAByADAADQAKAFQAUAA6ADAADQAKAFYAQQBMADoAMQAyADAAOQAxADkAOAAxAA0ACgBOAE0AOgBIAFMATQBhAHIAawBlAHIAUwB0AHkAbABlADAADQAKAFQAUAA6ADAADQAKAFYAQQBMADoAMQANAAoATgBNADoASABTAE0AYQByAGsAZQByAFcAZQBpAGcAaAB0ADAADQAKAFQAUAA6ADAADQAKAFYAQQBMADoAMQANAAoATgBNADoASABTAE0AYQByAGsAZQByAEEAbABpAGcAbgBWADAADQAKAFQAUAA6ADAADQAKAFYAQQBMADoAMAANAAoATgBNADoASABTAE0AYQByAGsAZQByAEEAbABpAGcAbgBIADAADQAKAFQAUAA6ADAADQAKAFYAQQBMADoAMAANAAoATgBNADoASABTAE0AYQByAGsAZQByAFMAaABvAHcAMQANAAoAVABQADoAMAANAAoAVgBBAEwAOgAwAA0ACgBOAE0AOgBIAFMATQBhAHIAawBlAHIAVAB5AHAAZQAxAA0ACgBUAFAAOgAwAA0ACgBWAEEATAA6ADQADQAKAE4ATQA6AEgAUwBNAGEAcgBrAGUAcgBWAGEAbAB1AGUAMQANAAoAVABQADoAMQANAAoAVgBBAEwAOgAwAA0ACgBOAE0AOgBIAFMATQBhAHIAawBlAHIATABhAGIAZQBsAFQAeQBwAGUAMQANAAoAVABQADoAMAANAAoAVgBBAEwAOgAxAA0ACgBOAE0AOgBIAFMATQBhAHIAawBlAHIARgBvAG4AdAAxAA0ACgBUAFAAOgAyAA0ACgBWAEEATAA6ACMARgBPAE4AVAAjACMAIwAjADkAMgA6ADkAUAAvAC8ALwB3AEEAQQBBAEEAQQBBAEEAQQBBAEEAQQBBAEEAQQBBAEwAdwBDAEEAQQBBAEEAQQBBAEQATQBBAHcASQBCAEkAawBFAEEAYwBnAEIAcABBAEcARQBBAGIAQQBBAEEAQQBBAEEAQQBBAEEAQQBBAEEAQQBBAEEAQQBBAEEAQQBBAEEAQQBBAEEAQQBBAEEAQQBBAEEAQQBBAEEAQQBBAEEAQQBBAEEAQQBBAEEAQQBBAEEAQQBBAEEAQQBBAEEAQQBBAEEAQQBBAEEAQQBBAEEAQQBBAEEAQQBBAEEAQQBBAEEAQQBBAEEAQQBBAD0ADQAKAE4ATQA6AEgAUwBNAGEAcgBrAGUAcgBDAGwAcgBUAGUAeAB0ADEADQAKAFQAUAA6ADAADQAKAFYAQQBMADoAMQAyADAAOQAxADkAOAAxAA0ACgBOAE0AOgBIAFMATQBhAHIAawBlAHIAQwBsAHIAMQANAAoAVABQADoAMAANAAoAVgBBAEwAOgAxADIAMAA5ADEAOQA4ADEADQAKAE4ATQA6AEgAUwBNAGEAcgBrAGUAcgBTAHQAeQBsAGUAMQANAAoAVABQADoAMAANAAoAVgBBAEwAOgAxAA0ACgBOAE0AOgBIAFMATQBhAHIAawBlAHIAVwBlAGkAZwBoAHQAMQANAAoAVABQADoAMAANAAoAVgBBAEwAOgAxAA0ACgBOAE0AOgBIAFMATQBhAHIAawBlAHIAQQBsAGkAZwBuAFYAMQANAAoAVABQADoAMAANAAoAVgBBAEwAOgAwAA0ACgBOAE0AOgBIAFMATQBhAHIAawBlAHIAQQBsAGkAZwBuAEgAMQANAAoAVABQADoAMAANAAoAVgBBAEwAOgAyAA0ACgBOAE0AOgBIAFMATQBhAHIAawBlAHIAUwBoAG8AdwAyAA0ACgBUAFAAOgAwAA0ACgBWAEEATAA6ADAADQAKAE4ATQA6AEgAUwBNAGEAcgBrAGUAcgBUAHkAcABlADIADQAKAFQAUAA6ADAADQAKAFYAQQBMADoANQANAAoATgBNADoASABTAE0AYQByAGsAZQByAFYAYQBsAHUAZQAyAA0ACgBUAFAAOgAxAA0ACgBWAEEATAA6ADAADQAKAE4ATQA6AEgAUwBNAGEAcgBrAGUAcgBMAGEAYgBlAGwAVAB5AHAAZQAyAA0ACgBUAFAAOgAwAA0ACgBWAEEATAA6ADEADQAKAE4ATQA6AEgAUwBNAGEAcgBrAGUAcgBGAG8AbgB0ADIADQAKAFQAUAA6ADIADQAKAFYAQQBMADoAIwBGAE8ATgBUACMAIwAjACMAOQAyADoAOQBQAC8ALwAvAHcAQQBBAEEAQQBBAEEAQQBBAEEAQQBBAEEAQQBBAEEATAB3AEMAQQBBAEEAQQBBAEEARABNAEEAdwBJAEIASQBrAEUAQQBjAGcAQgBwAEEARwBFAEEAYgBBAEEAQQBBAEEAQQBBAEEAQQBBAEEAQQBBAEEAQQBBAEEAQQBBAEEAQQBBAEEAQQBBAEEAQQBBAEEAQQBBAEEAQQBBAEEAQQBBAEEAQQBBAEEAQQBBAEEAQQBBAEEAQQBBAEEAQQBBAEEAQQBBAEEAQQBBAEEAQQBBAEEAQQBBAEEAQQBBAEEAQQBBAEEAQQBBAEEAPQANAAoATgBNADoASABTAE0AYQByAGsAZQByAEMAbAByAFQAZQB4AHQAMgANAAoAVABQADoAMAANAAoAVgBBAEwAOgAxADIAMAA5ADEAOQA4ADEADQAKAE4ATQA6AEgAUwBNAGEAcgBrAGUAcgBDAGwAcgAyAA0ACgBUAFAAOgAwAA0ACgBWAEEATAA6ADEAMgAwADkAMQA5ADgAMQANAAoATgBNADoASABTAE0AYQByAGsAZQByAFMAdAB5AGwAZQAyAA0ACgBUAFAAOgAwAA0ACgBWAEEATAA6ADEADQAKAE4ATQA6AEgAUwBNAGEAcgBrAGUAcgBXAGUAaQBnAGgAdAAyAA0ACgBUAFAAOgAwAA0ACgBWAEEATAA6ADEADQAKAE4ATQA6AEgAUwBNAGEAcgBrAGUAcgBBAGwAaQBnAG4AVgAyAA0ACgBUAFAAOgAwAA0ACgBWAEEATAA6ADIADQAKAE4ATQA6AEgAUwBNAGEAcgBrAGUAcgBBAGwAaQBnAG4ASAAyAA0ACgBUAFAAOgAwAA0ACgBWAEEATAA6ADEADQAKAE4ATQA6AEgAUwBNAGEAcgBrAGUAcgBTAGgAbwB3ADMADQAKAFQAUAA6ADAADQAKAFYAQQBMADoAMAANAAoATgBNADoASABTAE0AYQByAGsAZQByAFQAeQBwAGUAMwANAAoAVABQADoAMAANAAoAVgBBAEwAOgA2AA0ACgBOAE0AOgBIAFMATQBhAHIAawBlAHIAVgBhAGwAdQBlADMADQAKAFQAUAA6ADEADQAKAFYAQQBMADoAMAANAAoATgBNADoASABTAE0AYQByAGsAZQByAEwAYQBiAGUAbABUAHkAcABlADMADQAKAFQAUAA6ADAADQAKAFYAQQBMADoAMQANAAoATgBNADoASABTAE0AYQByAGsAZQByAEYAbwBuAHQAMwANAAoAVABQADoAMgANAAoAVgBBAEwAOgAjAEYATwBOAFQAIwAjACMAIwA5ADIAOgA5AFAALwAvAC8AdwBBAEEAQQBBAEEAQQBBAEEAQQBBAEEAQQBBAEEAQQBMAHcAQwBBAEEAQQBBAEEAQQBEAE0AQQB3AEkAQgBJAGsARQBBAGMAZwBCAHAAQQBHAEUAQQBiAEEAQQBBAEEAQQBBAEEAQQBBAEEAQQBBAEEAQQBBAEEAQQBBAEEAQQBBAEEAQQBBAEEAQQBBAEEAQQBBAEEAQQBBAEEAQQBBAEEAQQBBAEEAQQBBAEEAQQBBAEEAQQBBAEEAQQBBAEEAQQBBAEEAQQBBAEEAQQBBAEEAQQBBAEEAQQBBAEEAQQBBAEEAQQBBAEEAQQA9AA0ACgBOAE0AOgBIAFMATQBhAHIAawBlAHIAQwBsAHIAVABlAHgAdAAzAA0ACgBUAFAAOgAwAA0ACgBWAEEATAA6ADEAMgAwADkAMQA5ADgAMQANAAoATgBNADoASABTAE0AYQByAGsAZQByAEMAbAByADMADQAKAFQAUAA6ADAADQAKAFYAQQBMADoAMQAyADAAOQAxADkAOAAxAA0ACgBOAE0AOgBIAFMATQBhAHIAawBlAHIAUwB0AHkAbABlADMADQAKAFQAUAA6ADAADQAKAFYAQQBMADoAMQANAAoATgBNADoASABTAE0AYQByAGsAZQByAFcAZQBpAGcAaAB0ADMADQAKAFQAUAA6ADAADQAKAFYAQQBMADoAMQANAAoATgBNADoASABTAE0AYQByAGsAZQByAEEAbABpAGcAbgBWADMADQAKAFQAUAA6ADAADQAKAFYAQQBMADoAMQANAAoATgBNADoASABTAE0AYQByAGsAZQByAEEAbABpAGcAbgBIADMADQAKAFQAUAA6ADAADQAKAFYAQQBMADoAMQANAAoAPAAvAE8AUABUAEkATwBOAFMAPgANAAoATgA6ADMADQAKAFQAWQBQAEUAOgA4AA0ACgBOAE0AOgBUAG8AcgBuAGEAZABvAA0ACgBTAEkATQBJAEQAOgAwAA0ACgBTAEUATABTADoAMgAxAA0ACgBDAFUAUgBTAEUATAA6ADEAMwANAAoAVABQADoAMAANAAoAUgBHADoAMAANAAoATgBNADoAJwBbACMAIwBUAEgASQBTAFcAQgAjACMAXQBFAHYAYQBzAGkAbwBuACcAIQBMACQAMQAzAA0ACgBDAEwAUgA6ADYANQA4ADEAMgAzADEADQAKAFQAUgBBAE4AUwBQADoANQAwAA0ACgBTAEkATQA6ADAADQAKADwAUwBFAEwAXwBPAFAAVABJAE8ATgBTAD4ADQAKAEMATgBUADoAMAANAAoAPAAvAFMARQBMAF8ATwBQAFQASQBPAE4AUwA+AA0ACgBUAFAAOgAxAA0ACgBSAEcAOgAwAA0ACgBOAE0AOgAnAFsAIwAjAFQASABJAFMAVwBCACMAIwBdAFIAYQBuAHMAbwBtAHcAYQByAGUAJwAhAEwAJAAxADcADQAKAEMATABSADoAOAA1ADAAMwA3ADgANQANAAoAVABSAEEATgBTAFAAOgA1ADAADQAKAFMASQBNADoAMAANAAoAPABTAEUATABfAE8AUABUAEkATwBOAFMAPgANAAoAQwBOAFQAOgAwAA0ACgA8AC8AUwBFAEwAXwBPAFAAVABJAE8ATgBTAD4ADQAKAFQAUAA6ADEADQAKAFIARwA6ADAADQAKAE4ATQA6ACcAWwAjACMAVABIAEkAUwBXAEIAIwAjAF0ARQB2AGEAcwBpAG8AbgAnACEATAAkADYADQAKAEMATABSADoANAAzADUANgA1ADkAMAANAAoAVABSAEEATgBTAFAAOgA1ADAADQAKAFMASQBNADoAMAANAAoAPABTAEUATABfAE8AUABUAEkATwBOAFMAPgANAAoAQwBOAFQAOgAwAA0ACgA8AC8AUwBFAEwAXwBPAFAAVABJAE8ATgBTAD4ADQAKAFQAUAA6ADEADQAKAFIARwA6ADAADQAKAE4ATQA6ACcAWwAjACMAVABIAEkAUwBXAEIAIwAjAF0AUABvAGkAcwBvAG4AaQBuAGcAJwAhAEwAJAA2AA0ACgBDAEwAUgA6ADEAMgAxADAANQA2ADAANgANAAoAVABSAEEATgBTAFAAOgA1ADAADQAKAFMASQBNADoAMAANAAoAPABTAEUATABfAE8AUABUAEkATwBOAFMAPgANAAoAQwBOAFQAOgAwAA0ACgA8AC8AUwBFAEwAXwBPAFAAVABJAE8ATgBTAD4ADQAKAFQAUAA6ADEADQAKAFIARwA6ADAADQAKAE4ATQA6ACcAWwAjACMAVABIAEkAUwBXAEIAIwAjAF0AUAByAGkAdgBhAGMAeQAnACEATAAkADYADQAKAEMATABSADoANQA4ADMANgA3AA0ACgBUAFIAQQBOAFMAUAA6ADUAMAANAAoAUwBJAE0AOgAwAA0ACgA8AFMARQBMAF8ATwBQAFQASQBPAE4AUwA+AA0ACgBDAE4AVAA6ADAADQAKADwALwBTAEUATABfAE8AUABUAEkATwBOAFMAPgANAAoAVABQADoAMQANAAoAUgBHADoAMAANAAoATgBNADoAJwBbACMAIwBUAEgASQBTAFcAQgAjACMAXQBSAGEAbgBzAG8AbQB3AGEAcgBlACcAIQBMACQAMgAwAA0ACgBDAEwAUgA6ADIAOAA2ADUAMgA2ADkADQAKAFQAUgBBAE4AUwBQADoANQAwAA0ACgBTAEkATQA6ADAADQAKADwAUwBFAEwAXwBPAFAAVABJAE8ATgBTAD4ADQAKAEMATgBUADoAMAANAAoAPAAvAFMARQBMAF8ATwBQAFQASQBPAE4AUwA+AA0ACgBUAFAAOgAxAA0ACgBSAEcAOgAwAA0ACgBOAE0AOgAnAFsAIwAjAFQASABJAFMAVwBCACMAIwBdAFIAYQBuAHMAbwBtAHcAYQByAGUAJwAhAEwAJAA1AA0ACgBDAEwAUgA6ADYAMQA0ADkAMgA3ADcADQAKAFQAUgBBAE4AUwBQADoANQAwAA0ACgBTAEkATQA6ADAADQAKADwAUwBFAEwAXwBPAFAAVABJAE8ATgBTAD4ADQAKAEMATgBUADoAMAANAAoAPAAvAFMARQBMAF8ATwBQAFQASQBPAE4AUwA+AA0ACgBUAFAAOgAxAA0ACgBSAEcAOgAwAA0ACgBOAE0AOgAnAFsAIwAjAFQASABJAFMAVwBCACMAIwBdAEUAdgBhAHMAaQBvAG4AJwAhAEwAJAA1AA0ACgBDAEwAUgA6ADEANAAzADgAMQAyADAAMwANAAoAVABSAEEATgBTAFAAOgA1ADAADQAKAFMASQBNADoAMAANAAoAPABTAEUATABfAE8AUABUAEkATwBOAFMAPgANAAoAQwBOAFQAOgAwAA0ACgA8AC8AUwBFAEwAXwBPAFAAVABJAE8ATgBTAD4ADQAKAFQAUAA6ADEADQAKAFIARwA6ADAADQAKAE4ATQA6ACcAWwAjACMAVABIAEkAUwBXAEIAIwAjAF0AUABvAGkAcwBvAG4AaQBuAGcAJwAhAEwAJAA1AA0ACgBDAEwAUgA6ADIANgA1ADYANQAwAA0ACgBUAFIAQQBOAFMAUAA6ADUAMAANAAoAUwBJAE0AOgAwAA0ACgA8AFMARQBMAF8ATwBQAFQASQBPAE4AUwA+AA0ACgBDAE4AVAA6ADAADQAKADwALwBTAEUATABfAE8AUABUAEkATwBOAFMAPgANAAoAVABQADoAMQANAAoAUgBHADoAMAANAAoATgBNADoAJwBbACMAIwBUAEgASQBTAFcAQgAjACMAXQBSAGEAbgBzAG8AbQB3AGEAcgBlACcAIQBMACQAMgAyAA0ACgBDAEwAUgA6ADgANwA0ADEAMwA5ADEADQAKAFQAUgBBAE4AUwBQADoANQAwAA0ACgBTAEkATQA6ADAADQAKADwAUwBFAEwAXwBPAFAAVABJAE8ATgBTAD4ADQAKAEMATgBUADoAMAANAAoAPAAvAFMARQBMAF8ATwBQAFQASQBPAE4AUwA+AA0ACgBUAFAAOgAxAA0ACgBSAEcAOgAwAA0ACgBOAE0AOgAnAFsAIwAjAFQASABJAFMAVwBCACMAIwBdAFAAcgBpAHYAYQBjAHkAJwAhAEwAJAA5AA0ACgBDAEwAUgA6ADIAOAA1ADkANwA3ADIADQAKAFQAUgBBAE4AUwBQADoANQAwAA0ACgBTAEkATQA6ADAADQAKADwAUwBFAEwAXwBPAFAAVABJAE8ATgBTAD4ADQAKAEMATgBUADoAMAANAAoAPAAvAFMARQBMAF8ATwBQAFQASQBPAE4AUwA+AA0ACgBUAFAAOgAxAA0ACgBSAEcAOgAwAA0ACgBOAE0AOgAnAFsAIwAjAFQASABJAFMAVwBCACMAIwBdAEUAdgBhAHMAaQBvAG4AJwAhAEwAJAAxADEADQAKAEMATABSADoAMgAyADgANAAxADkADQAKAFQAUgBBAE4AUwBQADoANQAwAA0ACgBTAEkATQA6ADAADQAKADwAUwBFAEwAXwBPAFAAVABJAE8ATgBTAD4ADQAKAEMATgBUADoAMAANAAoAPAAvAFMARQBMAF8ATwBQAFQASQBPAE4AUwA+AA0ACgBUAFAAOgAxAA0ACgBSAEcAOgAwAA0ACgBOAE0AOgAnAFsAIwAjAFQASABJAFMAVwBCACMAIwBdAFIAYQBuAHMAbwBtAHcAYQByAGUAJwAhAEwAJAAxADQADQAKAEMATABSADoANAA1ADcANwA4AA0ACgBUAFIAQQBOAFMAUAA6ADUAMAANAAoAUwBJAE0AOgAwAA0ACgA8AFMARQBMAF8ATwBQAFQASQBPAE4AUwA+AA0ACgBDAE4AVAA6ADAADQAKADwALwBTAEUATABfAE8AUABUAEkATwBOAFMAPgANAAoAVABQADoAMQANAAoAUgBHADoAMAANAAoATgBNADoAJwBbACMAIwBUAEgASQBTAFcAQgAjACMAXQBFAHYAYQBzAGkAbwBuACcAIQBMACQAOQANAAoAQwBMAFIAOgAxADUANgA1ADIAMgA3ADkADQAKAFQAUgBBAE4AUwBQADoANQAwAA0ACgBTAEkATQA6ADAADQAKADwAUwBFAEwAXwBPAFAAVABJAE8ATgBTAD4ADQAKAEMATgBUADoAMAANAAoAPAAvAFMARQBMAF8ATwBQAFQASQBPAE4AUwA+AA0ACgBUAFAAOgAxAA0ACgBSAEcAOgAwAA0ACgBOAE0AOgAnAFsAIwAjAFQASABJAFMAVwBCACMAIwBdAFAAbwBpAHMAbwBuAGkAbgBnACcAIQBMACQAOQANAAoAQwBMAFIAOgA1ADMAOAA5ADUAOAA5AA0ACgBUAFIAQQBOAFMAUAA6ADUAMAANAAoAUwBJAE0AOgAwAA0ACgA8AFMARQBMAF8ATwBQAFQASQBPAE4AUwA+AA0ACgBDAE4AVAA6ADAADQAKADwALwBTAEUATABfAE8AUABUAEkATwBOAFMAPgANAAoAVABQADoAMQANAAoAUgBHADoAMAANAAoATgBNADoAJwBbACMAIwBUAEgASQBTAFcAQgAjACMAXQBQAHIAaQB2AGEAYwB5ACcAIQBMACQAMQAwAA0ACgBDAEwAUgA6ADEANAAyADYANQAwADIANgANAAoAVABSAEEATgBTAFAAOgA1ADAADQAKAFMASQBNADoAMAANAAoAPABTAEUATABfAE8AUABUAEkATwBOAFMAPgANAAoAQwBOAFQAOgAwAA0ACgA8AC8AUwBFAEwAXwBPAFAAVABJAE8ATgBTAD4ADQAKAFQAUAA6ADEADQAKAFIARwA6ADAADQAKAE4ATQA6ACcAWwAjACMAVABIAEkAUwBXAEIAIwAjAF0ARQB2AGEAcwBpAG8AbgAnACEATAAkADcADQAKAEMATABSADoAMQA2ADIANwA3ADUADQAKAFQAUgBBAE4AUwBQADoANQAwAA0ACgBTAEkATQA6ADAADQAKADwAUwBFAEwAXwBPAFAAVABJAE8ATgBTAD4ADQAKAEMATgBUADoAMAANAAoAPAAvAFMARQBMAF8ATwBQAFQASQBPAE4AUwA+AA0ACgBUAFAAOgAxAA0ACgBSAEcAOgAwAA0ACgBOAE0AOgAnAFsAIwAjAFQASABJAFMAVwBCACMAIwBdAFAAcgBpAHYAYQBjAHkAJwAhAEwAJAAxADEADQAKAEMATABSADoAMQAxADYAOQA0ADQAOAAyAA0ACgBUAFIAQQBOAFMAUAA6ADUAMAANAAoAUwBJAE0AOgAwAA0ACgA8AFMARQBMAF8ATwBQAFQASQBPAE4AUwA+AA0ACgBDAE4AVAA6ADAADQAKADwALwBTAEUATABfAE8AUABUAEkATwBOAFMAPgANAAoAVABQADoAMQANAAoAUgBHADoAMAANAAoATgBNADoAJwBbACMAIwBUAEgASQBTAFcAQgAjACMAXQBFAHYAYQBzAGkAbwBuACcAIQBMACQAMQAwAA0ACgBDAEwAUgA6ADYANgAyADYAMwA2ADkADQAKAFQAUgBBAE4AUwBQADoANQAwAA0ACgBTAEkATQA6ADAADQAKADwAUwBFAEwAXwBPAFAAVABJAE8ATgBTAD4ADQAKAEMATgBUADoAMAANAAoAPAAvAFMARQBMAF8ATwBQAFQASQBPAE4AUwA+AA0ACgBUAFAAOgAxAA0ACgBSAEcAOgAwAA0ACgBOAE0AOgAnAFsAIwAjAFQASABJAFMAVwBCACMAIwBdAFAAbwBpAHMAbwBuAGkAbgBnACcAIQBMACQAMQAwAA0ACgBDAEwAUgA6ADUANAAyADMAMwA1ADkADQAKAFQAUgBBAE4AUwBQADoANQAwAA0ACgBTAEkATQA6ADAADQAKADwAUwBFAEwAXwBPAFAAVABJAE8ATgBTAD4ADQAKAEMATgBUADoAMAANAAoAPAAvAFMARQBMAF8ATwBQAFQASQBPAE4AUwA+AA0ACgBUAFAAOgAxAA0ACgBSAEcAOgAwAA0ACgBOAE0AOgAnAFsAIwAjAFQASABJAFMAVwBCACMAIwBdAFAAcgBpAHYAYQBjAHkAJwAhAEwAJAA1AA0ACgBDAEwAUgA6ADMAMQA2ADAANQA1ADkADQAKAFQAUgBBAE4AUwBQADoANQAwAA0ACgBTAEkATQA6ADAADQAKADwAUwBFAEwAXwBPAFAAVABJAE8ATgBTAD4ADQAKAEMATgBUADoAMAANAAoAPAAvAFMARQBMAF8ATwBQAFQASQBPAE4AUwA+AA0ACgA8AE8AUABUAEkATwBOAFMAPgANAAoAQwBOAFQAOgA3ADcADQAKAE4ATQA6AEMAaABhAHIAdABfAFQAaQB0AGwAZQANAAoAVABQADoAMgANAAoAVgBBAEwAOgANAAoATgBNADoAbQBvAGQAZQANAAoAVABQADoAMAANAAoAVgBBAEwAOgA0AA0ACgBOAE0AOgBwAGUAcgBjAGUAbgB0AGkAbABlAA0ACgBUAFAAOgAxAA0ACgBWAEEATAA6ADAALgA5ADAAMAAwADAAMAAwADAAMAAwAA0ACgBOAE0AOgB0AHIAYQBuAGMAaABlAHMADQAKAFQAUAA6ADAADQAKAFYAQQBMADoANQANAAoATgBNADoAbQBhAHgAXwBiAGEAcgBzAA0ACgBUAFAAOgAwAA0ACgBWAEEATAA6ADIAMQA0ADcANAA4ADMANgA0ADcADQAKAE4ATQA6AE8AdgBlAHIAbABhAHkAVgBhAHIAcwANAAoAVABQADoAMAANAAoAVgBBAEwAOgAyAA0ACgBOAE0AOgBDAGgAYQByAHQAXwBTAGgAbwB3AFQAaQB0AGwAZQANAAoAVABQADoAMAANAAoAVgBBAEwAOgAxAA0ACgBOAE0AOgBDAGgAYQByAHQAXwBUAGkAdABsAGUAQwBvAGwAbwByAA0ACgBUAFAAOgAwAA0ACgBWAEEATAA6ADAADQAKAE4ATQA6AEMAaABhAHIAdABfAFQAaQB0AGwAZQBGAG8AbgB0AA0ACgBUAFAAOgAyAA0ACgBWAEEATAA6ACMARgBPAE4AVAAjACMAIwAjADkAMgA6ADgAUAAvAC8ALwB3AEEAQQBBAEEAQQBBAEEAQQBBAEEAQQBBAEEAQQBBAEwAdwBDAEEAQQBBAEEAQQBBAEEAQQBBAHcASQBCAEkAawBFAEEAYwBnAEIAcABBAEcARQBBAGIAQQBBAEEAQQBBAEEAQQBBAEEAQQBBAEEAQQBBAEEAQQBBAEEAQQBBAEEAQQBBAEEAQQBBAEEAQQBBAEEAQQBBAEEAQQBBAEEAQQBBAEEAQQBBAEEAQQBBAEEAQQBBAEEAQQBBAEEAQQBBAEEAQQBBAEEAQQBBAEEAQQBBAEEAQQBBAEEAQQBBAEEAQQBBAEEAQQBBAD0ADQAKAE4ATQA6AGwAZQBnAGUAbgBkAA0ACgBUAFAAOgAwAA0ACgBWAEEATAA6ADAADQAKAE4ATQA6AEMAaABhAHIAdABfAEwAZQBnAGUAbgBkAEMAbwBsAG8AcgANAAoAVABQADoAMAANAAoAVgBBAEwAOgAwAA0ACgBOAE0AOgBDAGgAYQByAHQAXwBMAGUAZwBlAG4AZABGAG8AbgB0AA0ACgBUAFAAOgAyAA0ACgBWAEEATAA6ACMARgBPAE4AVAAjACMAIwAjADkAMgA6ADkAZgAvAC8ALwB3AEEAQQBBAEEAQQBBAEEAQQBBAEEAQQBBAEEAQQBBAEoAQQBCAEEAQQBBAEEAQQBBAEEAQQBBAHcASQBCAEkAawBFAEEAYwBnAEIAcABBAEcARQBBAGIAQQBBAEEAQQBBAEEAQQBBAEEAQQBBAEEAQQBBAEEAQQBBAEEAQQBBAEEAQQBBAEEAQQBBAEEAQQBBAEEAQQBBAEEAQQBBAEEAQQBBAEEAQQBBAEEAQQBBAEEAQQBBAEEAQQBBAEEAQQBBAEEAQQBBAEEAQQBBAEEAQQBBAEEAQQBBAEEAQQBBAEEAQQBBAEEAQQBBAD0ADQAKAE4ATQA6AEMAaABhAHIAdABfAEIASwBDAG8AbABvAHIADQAKAFQAUAA6ADAADQAKAFYAQQBMADoAMQA2ADcANwA3ADIAMQA1AA0ACgBOAE0AOgBDAGgAYQByAHQAXwBCAG8AeABDAG8AbABvAHIADQAKAFQAUAA6ADAADQAKAFYAQQBMADoAMQA2ADcANwA3ADIAMQA1AA0ACgBOAE0AOgBUAGQAbwBfAE8AdgBlAHIAbABhAHkATgBhAG0AZQBzAA0ACgBUAFAAOgAwAA0ACgBWAEEATAA6ADAADQAKAE4ATQA6AFQAZABvAF8ATwB2AGUAcgBsAGEAeQBWAGEAbAB1AGUAcwANAAoAVABQADoAMAANAAoAVgBBAEwAOgAxAA0ACgBOAE0AOgBBAGwAbABvAHcAQwBoAGEAcgB0AFMAYwByAG8AbABsAA0ACgBUAFAAOgAwAA0ACgBWAEEATAA6ADEADQAKAE4ATQA6AFIAYQBuAGsARgByAG8AbQANAAoAVABQADoAMAANAAoAVgBBAEwAOgAxAA0ACgBOAE0AOgBSAGEAbgBrAFQAbwANAAoAVABQADoAMAANAAoAVgBBAEwAOgAyADAADQAKAE4ATQA6AFMAaABvAHcATgBUAHIAYQBuAGMAaABlAHMADQAKAFQAUAA6ADAADQAKAFYAQQBMADoAMAANAAoATgBNADoAYgBPAG4AZQBDAG8AbABvAHIARgBvAHIAQQBsAGwAQgBhAHIAcwANAAoAVABQADoAMAANAAoAVgBBAEwAOgAwAA0ACgBOAE0AOgBjAGwAcgBPAG4AZQBDAG8AbABvAHIARgBvAHIAQQBsAGwAQgBhAHIAcwANAAoAVABQADoAMAANAAoAVgBBAEwAOgAxADYANwA2ADcAMQA5ADIADQAKAE4ATQA6AFMAaABvAHcARgByAG8AbQANAAoAVABQADoAMAANAAoAVgBBAEwAOgAtADEADQAKAE4ATQA6AFMAaABvAHcAVABvAA0ACgBUAFAAOgAwAA0ACgBWAEEATAA6AC0AMQANAAoATgBNADoAWABfAEEAeABpAHMAXwBBAHUAdABvAHMAYwBhAGwAZQANAAoAVABQADoAMAANAAoAVgBBAEwAOgAxAA0ACgBOAE0AOgBYAF8AQQB4AGkAcwBfAE0AaQBuAA0ACgBUAFAAOgAxAA0ACgBWAEEATAA6AG4AYQBuAA0ACgBOAE0AOgBYAF8AQQB4AGkAcwBfAE0AYQB4AA0ACgBUAFAAOgAxAA0ACgBWAEEATAA6AG4AYQBuAA0ACgBOAE0AOgBYAF8AQQB4AGkAcwBfAFMAdABlAHAADQAKAFQAUAA6ADEADQAKAFYAQQBMADoAbgBhAG4ADQAKAE4ATQA6AFgAXwBBAHgAaQBzAF8AUwBjAGEAbABlAEYAYQBjAHQAbwByAA0ACgBUAFAAOgAxAA0ACgBWAEEATAA6AG4AYQBuAA0ACgBOAE0AOgBYAF8AQQB4AGkAcwBfAEYAbwByAG0AYQB0AA0ACgBUAFAAOgAwAA0ACgBWAEEATAA6AC0AMQANAAoATgBNADoAWABfAEEAeABpAHMAXwBDAHUAcwB0AG8AbQBGAG8AcgBtAGEAdAANAAoAVABQADoAMgANAAoAVgBBAEwAOgANAAoATgBNADoAWABfAEEAeABpAHMAXwBMAG8AZwBhAHIAaQB0AGgAbQBpAGMADQAKAFQAUAA6ADAADQAKAFYAQQBMADoAMAANAAoATgBNADoAWABfAEEAeABpAHMAXwBEAGUAYwBpAG0AYQBsAHMADQAKAFQAUAA6ADEADQAKAFYAQQBMADoAbgBhAG4ADQAKAE4ATQA6AFgAXwBBAHgAaQBzAF8ARABlAGMAaQBtAGEAbABzAEQAYQB0AGEADQAKAFQAUAA6ADEADQAKAFYAQQBMADoAbgBhAG4ADQAKAE4ATQA6AFgAXwBBAHgAaQBzAF8AUwBoAG8AdwBUAGkAdABsAGUADQAKAFQAUAA6ADAADQAKAFYAQQBMADoAMQANAAoATgBNADoAWABfAEEAeABpAHMAXwBUAGkAdABsAGUAQwBvAGwAbwByAA0ACgBUAFAAOgAwAA0ACgBWAEEATAA6ADAADQAKAE4ATQA6AFgAXwBBAHgAaQBzAF8AQwB1AHMAdABvAG0AVABpAHQAbABlAA0ACgBUAFAAOgAwAA0ACgBWAEEATAA6ADAADQAKAE4ATQA6AFgAXwBBAHgAaQBzAF8AVABpAHQAbABlAA0ACgBUAFAAOgAyAA0ACgBWAEEATAA6AA0ACgBOAE0AOgBYAF8AQQB4AGkAcwBfAFQAaQB0AGwAZQBGAG8AbgB0AA0ACgBUAFAAOgAyAA0ACgBWAEEATAA6ACMARgBPAE4AVAAjACMAIwAjADkAMgA6ADkAZgAvAC8ALwB3AEEAQQBBAEEAQQBBAEEAQQBBAEEAQQBBAEEAQQBBAEwAdwBDAEEAQQBBAEEAQQBBAEEAQQBBAHcASQBCAEkAawBFAEEAYwBnAEIAcABBAEcARQBBAGIAQQBBAEEAQQBBAEEAQQBBAEEAQQBBAEEAQQBBAEEAQQBBAEEAQQBBAEEAQQBBAEEAQQBBAEEAQQBBAEEAQQBBAEEAQQBBAEEAQQBBAEEAQQBBAEEAQQBBAEEAQQBBAEEAQQBBAEEAQQBBAEEAQQBBAEEAQQBBAEEAQQBBAEEAQQBBAEEAQQBBAEEAQQBBAEEAQQBBAD0ADQAKAE4ATQA6AFgAXwBBAHgAaQBzAF8AUwBoAG8AdwBHAHIAaQBkAGwAaQBuAGUAcwANAAoAVABQADoAMAANAAoAVgBBAEwAOgAwAA0ACgBOAE0AOgBYAF8AQQB4AGkAcwBfAEcAcgBpAGQAbABpAG4AZQBDAG8AbABvAHIADQAKAFQAUAA6ADAADQAKAFYAQQBMADoAMQAwADAANwAwADEAOAA4AA0ACgBOAE0AOgBYAF8AQQB4AGkAcwBfAEcAcgBpAGQAbABpAG4AZQBzAFMAdAB5AGwAZQANAAoAVABQADoAMAANAAoAVgBBAEwAOgAwAA0ACgBOAE0AOgBYAF8AQQB4AGkAcwBfAEcAcgBpAGQAbABpAG4AZQBzAFcAZQBpAGcAaAB0AA0ACgBUAFAAOgAwAA0ACgBWAEEATAA6ADEADQAKAE4ATQA6AFgAXwBBAHgAaQBzAF8ASQBuAHQAZQByAGwAYQBjAGUADQAKAFQAUAA6ADAADQAKAFYAQQBMADoAMAANAAoATgBNADoAWABfAEEAeABpAHMAXwBJAG4AdABlAHIAbABhAGMAZQBDAG8AbABvAHIADQAKAFQAUAA6ADAADQAKAFYAQQBMADoAMQA0ADgANwAyADUANgAxAA0ACgBOAE0AOgBYAF8AQQB4AGkAcwBfAFQAaQBjAGsATQBhAHIAawANAAoAVABQADoAMAANAAoAVgBBAEwAOgAxAA0ACgBOAE0AOgBYAF8AQQB4AGkAcwBfAEwAYQBiAGUAbABzAFMAdABhAGcAZwBlAHIAZQBkAA0ACgBUAFAAOgAwAA0ACgBWAEEATAA6ADAADQAKAE4ATQA6AFgAXwBBAHgAaQBzAF8ATABhAGIAZQBsAHMAQQBuAGcAbABlAA0ACgBUAFAAOgAxAA0ACgBWAEEATAA6AG4AYQBuAA0ACgBOAE0AOgBYAF8AQQB4AGkAcwBfAEwAYQBiAGUAbABzAEMAbwBsAG8AcgANAAoAVABQADoAMAANAAoAVgBBAEwAOgAwAA0ACgBOAE0AOgBYAF8AQQB4AGkAcwBfAEwAYQBiAGUAbABzAEYAbwBuAHQADQAKAFQAUAA6ADIADQAKAFYAQQBMADoAIwBGAE8ATgBUACMAIwAjACMAOQAyADoAOQBmAC8ALwAvAHcAQQBBAEEAQQBBAEEAQQBBAEEAQQBBAEEAQQBBAEEASgBBAEIAQQBBAEEAQQBBAEEAQQBBAEEAdwBJAEIASQBrAEUAQQBjAGcAQgBwAEEARwBFAEEAYgBBAEEAQQBBAEEAQQBBAEEAQQBBAEEAQQBBAEEAQQBBAEEAQQBBAEEAQQBBAEEAQQBBAEEAQQBBAEEAQQBBAEEAQQBBAEEAQQBBAEEAQQBBAEEAQQBBAEEAQQBBAEEAQQBBAEEAQQBBAEEAQQBBAEEAQQBBAEEAQQBBAEEAQQBBAEEAQQBBAEEAQQBBAEEAQQBBAEEAPQANAAoATgBNADoAWQBfAFQAZABvAEQAaQBzAHAAbABhAHkADQAKAFQAUAA6ADAADQAKAFYAQQBMADoAMQANAAoATgBNADoAWQBfAEEAeABpAHMAXwBBAHUAdABvAHMAYwBhAGwAZQANAAoAVABQADoAMAANAAoAVgBBAEwAOgAxAA0ACgBOAE0AOgBZAF8AQQB4AGkAcwBfAE0AaQBuAA0ACgBUAFAAOgAxAA0ACgBWAEEATAA6AG4AYQBuAA0ACgBOAE0AOgBZAF8AQQB4AGkAcwBfAE0AYQB4AA0ACgBUAFAAOgAxAA0ACgBWAEEATAA6AG4AYQBuAA0ACgBOAE0AOgBZAF8AQQB4AGkAcwBfAFMAdABlAHAADQAKAFQAUAA6ADEADQAKAFYAQQBMADoAbgBhAG4ADQAKAE4ATQA6AFkAXwBBAHgAaQBzAF8AUwBjAGEAbABlAEYAYQBjAHQAbwByAA0ACgBUAFAAOgAxAA0ACgBWAEEATAA6AG4AYQBuAA0ACgBOAE0AOgBZAF8AQQB4AGkAcwBfAEYAbwByAG0AYQB0AA0ACgBUAFAAOgAwAA0ACgBWAEEATAA6AC0AMQANAAoATgBNADoAWQBfAEEAeABpAHMAXwBDAHUAcwB0AG8AbQBGAG8AcgBtAGEAdAANAAoAVABQADoAMgANAAoAVgBBAEwAOgANAAoATgBNADoAWQBfAEEAeABpAHMAXwBMAG8AZwBhAHIAaQB0AGgAbQBpAGMADQAKAFQAUAA6ADAADQAKAFYAQQBMADoAMAANAAoATgBNADoAWQBfAEEAeABpAHMAXwBEAGUAYwBpAG0AYQBsAHMADQAKAFQAUAA6ADEADQAKAFYAQQBMADoAbgBhAG4ADQAKAE4ATQA6AFkAXwBBAHgAaQBzAF8ARABlAGMAaQBtAGEAbABzAEQAYQB0AGEADQAKAFQAUAA6ADEADQAKAFYAQQBMADoAbgBhAG4ADQAKAE4ATQA6AFkAXwBBAHgAaQBzAF8AUwBoAG8AdwBUAGkAdABsAGUADQAKAFQAUAA6ADAADQAKAFYAQQBMADoAMQANAAoATgBNADoAWQBfAEEAeABpAHMAXwBUAGkAdABsAGUAQwBvAGwAbwByAA0ACgBUAFAAOgAwAA0ACgBWAEEATAA6ADAADQAKAE4ATQA6AFkAXwBBAHgAaQBzAF8AQwB1AHMAdABvAG0AVABpAHQAbABlAA0ACgBUAFAAOgAwAA0ACgBWAEEATAA6ADAADQAKAE4ATQA6AFkAXwBBAHgAaQBzAF8AVABpAHQAbABlAA0ACgBUAFAAOgAyAA0ACgBWAEEATAA6AA0ACgBOAE0AOgBZAF8AQQB4AGkAcwBfAFQAaQB0AGwAZQBGAG8AbgB0AA0ACgBUAFAAOgAyAA0ACgBWAEEATAA6ACMARgBPAE4AVAAjACMAIwAjADkAMgA6ADkAZgAvAC8ALwB3AEEAQQBBAEEAQQBBAEEAQQBBAEEAQQBBAEEAQQBBAEwAdwBDAEEAQQBBAEEAQQBBAEEAQQBBAHcASQBCAEkAawBFAEEAYwBnAEIAcABBAEcARQBBAGIAQQBBAEEAQQBBAEEAQQBBAEEAQQBBAEEAQQBBAEEAQQBBAEEAQQBBAEEAQQBBAEEAQQBBAEEAQQBBAEEAQQBBAEEAQQBBAEEAQQBBAEEAQQBBAEEAQQBBAEEAQQBBAEEAQQBBAEEAQQBBAEEAQQBBAEEAQQBBAEEAQQBBAEEAQQBBAEEAQQBBAEEAQQBBAEEAQQBBAD0ADQAKAE4ATQA6AFkAXwBBAHgAaQBzAF8AUwBoAG8AdwBHAHIAaQBkAGwAaQBuAGUAcwANAAoAVABQADoAMAANAAoAVgBBAEwAOgAwAA0ACgBOAE0AOgBZAF8AQQB4AGkAcwBfAEcAcgBpAGQAbABpAG4AZQBDAG8AbABvAHIADQAKAFQAUAA6ADAADQAKAFYAQQBMADoAMQAwADAANwAwADEAOAA4AA0ACgBOAE0AOgBZAF8AQQB4AGkAcwBfAEcAcgBpAGQAbABpAG4AZQBzAFMAdAB5AGwAZQANAAoAVABQADoAMAANAAoAVgBBAEwAOgAwAA0ACgBOAE0AOgBZAF8AQQB4AGkAcwBfAEcAcgBpAGQAbABpAG4AZQBzAFcAZQBpAGcAaAB0AA0ACgBUAFAAOgAwAA0ACgBWAEEATAA6ADEADQAKAE4ATQA6AFkAXwBBAHgAaQBzAF8ASQBuAHQAZQByAGwAYQBjAGUADQAKAFQAUAA6ADAADQAKAFYAQQBMADoAMAANAAoATgBNADoAWQBfAEEAeABpAHMAXwBJAG4AdABlAHIAbABhAGMAZQBDAG8AbABvAHIADQAKAFQAUAA6ADAADQAKAFYAQQBMADoAMQA0ADgANwAyADUANgAxAA0ACgBOAE0AOgBZAF8AQQB4AGkAcwBfAFQAaQBjAGsATQBhAHIAawANAAoAVABQADoAMAANAAoAVgBBAEwAOgAxAA0ACgBOAE0AOgBZAF8AQQB4AGkAcwBfAEwAYQBiAGUAbABzAFMAdABhAGcAZwBlAHIAZQBkAA0ACgBUAFAAOgAwAA0ACgBWAEEATAA6ADAADQAKAE4ATQA6AFkAXwBBAHgAaQBzAF8ATABhAGIAZQBsAHMAQQBuAGcAbABlAA0ACgBUAFAAOgAxAA0ACgBWAEEATAA6AG4AYQBuAA0ACgBOAE0AOgBZAF8AQQB4AGkAcwBfAEwAYQBiAGUAbABzAEMAbwBsAG8AcgANAAoAVABQADoAMAANAAoAVgBBAEwAOgAwAA0ACgBOAE0AOgBZAF8AQQB4AGkAcwBfAEwAYQBiAGUAbABzAEYAbwBuAHQADQAKAFQAUAA6ADIADQAKAFYAQQBMADoAIwBGAE8ATgBUACMAIwAjACMAOQAyADoAOQBmAC8ALwAvAHcAQQBBAEEAQQBBAEEAQQBBAEEAQQBBAEEAQQBBAEEASgBBAEIAQQBBAEEAQQBBAEEAQQBBAEEAdwBJAEIASQBrAEUAQQBjAGcAQgBwAEEARwBFAEEAYgBBAEEAQQBBAEEAQQBBAEEAQQBBAEEAQQBBAEEAQQBBAEEAQQBBAEEAQQBBAEEAQQBBAEEAQQBBAEEAQQBBAEEAQQBBAEEAQQBBAEEAQQBBAEEAQQBBAEEAQQBBAEEAQQBBAEEAQQBBAEEAQQBBAEEAQQBBAEEAQQBBAEEAQQBBAEEAQQBBAEEAQQBBAEEAQQBBAEEAPQANAAoAPAAvAE8AUABUAEkATwBOAFMAPgANAAoATgA6ADQADQAKAFQAWQBQAEUAOgAxAA0ACgBOAE0AOgBMAGkAcwB0AA0ACgBTAEkATQBJAEQAOgAwAA0ACgBTAEUATABTADoAMAANAAoAQwBVAFIAUwBFAEwAOgAtADEADQAKADwATwBQAFQASQBPAE4AUwA+AA0ACgBDAE4AVAA6ADEAMAANAAoATgBNADoAQwBoAGEAcgB0AF8AUwBoAG8AdwBUAGkAdABsAGUADQAKAFQAUAA6ADAADQAKAFYAQQBMADoAMQANAAoATgBNADoAQwBoAGEAcgB0AF8AVABpAHQAbABlAA0ACgBUAFAAOgAyAA0ACgBWAEEATAA6AA0ACgBOAE0AOgBDAGgAYQByAHQAXwBUAGkAdABsAGUAQwBvAGwAbwByAA0ACgBUAFAAOgAwAA0ACgBWAEEATAA6ADAADQAKAE4ATQA6AEMAaABhAHIAdABfAFQAaQB0AGwAZQBGAG8AbgB0AA0ACgBUAFAAOgAyAA0ACgBWAEEATAA6ACMARgBPAE4AVAAjACMAIwAjADkAMgA6ADgAUAAvAC8ALwB3AEEAQQBBAEEAQQBBAEEAQQBBAEEAQQBBAEEAQQBBAEwAdwBDAEEAQQBBAEEAQQBBAEQATQBBAHcASQBCAEkAawBFAEEAYwBnAEIAcABBAEcARQBBAGIAQQBBAEEAQQBBAEEAQQBBAEEAQQBBAEEAQQBBAEEAQQBBAEEAQQBBAEEAQQBBAEEAQQBBAEEAQQBBAEEAQQBBAEEAQQBBAEEAQQBBAEEAQQBBAEEAQQBBAEEAQQBBAEEAQQBBAEEAQQBBAEEAQQBBAEEAQQBBAEEAQQBBAEEAQQBBAEEAQQBBAEEAQQBBAEEAQQBBAD0ADQAKAE4ATQA6AGwAZQBnAGUAbgBkAA0ACgBUAFAAOgAwAA0ACgBWAEEATAA6ADAADQAKAE4ATQA6AEMAaABhAHIAdABfAEwAZQBnAGUAbgBkAEMAbwBsAG8AcgANAAoAVABQADoAMAANAAoAVgBBAEwAOgAwAA0ACgBOAE0AOgBDAGgAYQByAHQAXwBMAGUAZwBlAG4AZABGAG8AbgB0AA0ACgBUAFAAOgAyAA0ACgBWAEEATAA6ACMARgBPAE4AVAAjACMAIwAjADkAMgA6ADkAZgAvAC8ALwB3AEEAQQBBAEEAQQBBAEEAQQBBAEEAQQBBAEEAQQBBAEoAQQBCAEEAQQBBAEEAQQBBAEQATQBBAHcASQBCAEkAawBFAEEAYwBnAEIAcABBAEcARQBBAGIAQQBBAEEAQQBBAEEAQQBBAEEAQQBBAEEAQQBBAEEAQQBBAEEAQQBBAEEAQQBBAEEAQQBBAEEAQQBBAEEAQQBBAEEAQQBBAEEAQQBBAEEAQQBBAEEAQQBBAEEAQQBBAEEAQQBBAEEAQQBBAEEAQQBBAEEAQQBBAEEAQQBBAEEAQQBBAEEAQQBBAEEAQQBBAEEAQQBBAD0ADQAKAE4ATQA6AEMAaABhAHIAdABfAEIASwBDAG8AbABvAHIADQAKAFQAUAA6ADAADQAKAFYAQQBMADoAMQA2ADcANwA3ADIAMQA1AA0ACgBOAE0AOgBDAGgAYQByAHQAXwBCAG8AeABDAG8AbABvAHIADQAKAFQAUAA6ADAADQAKAFYAQQBMADoAMQA2ADcANwA3ADIAMQA1AA0ACgBOAE0AOgBTAGgAbwB3AEYAaQBsAHQAZQByAGUAZAANAAoAVABQADoAMAANAAoAVgBBAEwAOgAxAA0ACgA8AC8ATwBQAFQASQBPAE4AUwA+AA0ACgA8AC8AUABBAEcARQBTAD4ADQAKAA==</t>
  </si>
  <si>
    <t>PABGAEkATABUAEUAUgBTAD4ADQAKADwALwBDAE4AVAA6ADAADQAKAEYASQBMAFQARQBSAFMAPgANAAoAPABQAEEARwBFAFMAPgANAAoAQwBOAFQAOgA0AA0ACgBDAFUAUgBQAEEARwBFADoAMAANAAoATgA6ADEADQAKAFQAWQBQAEUAOgAyAA0ACgBOAE0AOgBIAGkAcwB0AG8AZwByAGEAbQANAAoAUwBJAE0ASQBEADoAMAANAAoAUwBFAEwAUwA6ADEADQAKAEMAVQBSAFMARQBMADoAMAANAAoAVABQADoAMAANAAoAUgBHADoAMAANAAoATgBNADoAJwBbACMAIwBUAEgASQBTAFcAQgAjACMAXQBSAGEAbgBzAG8AbQB3AGEAcgBlACcAIQBMACQAMgA1AA0ACgBDAEwAUgA6ADYANQA4ADEAMgAzADEADQAKAFQAUgBBAE4AUwBQADoANQAwAA0ACgBTAEkATQA6ADAADQAKADwAUwBFAEwAXwBPAFAAVABJAE8ATgBTAD4ADQAKAEMATgBUADoAMwANAAoATgBNADoAMwANAAoAVABQADoAMQANAAoAVgBBAEwAOgAwAC4AMQAwADAAMAAwADAAMAAwADAAMAANAAoATgBNADoANAANAAoAVABQADoAMQANAAoAVgBBAEwAOgAwAC4AOQAwADAAMAAwADAAMAAwADAAMAANAAoATgBNADoANQANAAoAVABQADoAMgANAAoAVgBBAEwAOgANAAoAPAAvAFMARQBMAF8ATwBQAFQASQBPAE4AUwA+AA0ACgA8AE8AUABUAEkATwBOAFMAPgANAAoAQwBOAFQAOgAxADMAMQANAAoATgBNADoAQwBoAGEAcgB0AF8AVABpAHQAbABlAA0ACgBUAFAAOgAyAA0ACgBWAEEATAA6AA0ACgBOAE0AOgBzAGwAaQBkAGUAcgBzAA0ACgBUAFAAOgAwAA0ACgBWAEEATAA6ADEADQAKAE4ATQA6AHMAbABpAGQAZQByAHMAXwBjAHUAbQB1AGwADQAKAFQAUAA6ADAADQAKAFYAQQBMADoAMAANAAoATgBNADoAbABlAGcAZQBuAGQADQAKAFQAUAA6ADAADQAKAFYAQQBMADoAMAANAAoATgBNADoATgBCAGEAcgBzAA0ACgBUAFAAOgAwAA0ACgBWAEEATAA6AC0AMQANAAoATgBNADoATABpAG4AZQBzAA0ACgBUAFAAOgAwAA0ACgBWAEEATAA6ADAADQAKAE4ATQA6AFkATABhAGIAZQBsAA0ACgBUAFAAOgAyAA0ACgBWAEEATAA6AA0ACgBOAE0AOgBPAHYAZQByAGwAYQB5AFYAYQByAHMADQAKAFQAUAA6ADAADQAKAFYAQQBMADoAMwANAAoATgBNADoAQwBoAGEAcgB0AF8AUwBoAG8AdwBUAGkAdABsAGUADQAKAFQAUAA6ADAADQAKAFYAQQBMADoAMQANAAoATgBNADoAQwBoAGEAcgB0AF8AVABpAHQAbABlAEMAbwBsAG8AcgANAAoAVABQADoAMAANAAoAVgBBAEwAOgAwAA0ACgBOAE0AOgBDAGgAYQByAHQAXwBUAGkAdABsAGUARgBvAG4AdAANAAoAVABQADoAMgANAAoAVgBBAEwAOgAjAEYATwBOAFQAIwAjACMAIwA5ADIAOgA4AFAALwAvAC8AdwBBAEEAQQBBAEEAQQBBAEEAQQBBAEEAQQBBAEEAQQBMAHcAQwBBAEEAQQBBAEEAQQBBAEEAQQB3AEkAQgBJAGsARQBBAGMAZwBCAHAAQQBHAEUAQQBiAEEAQQBBAEEAQQBBAEEAQQBBAEEAQQBBAEEAQQBBAEEAQQBBAEEAQQBBAEEAQQBBAEEAQQBBAEEAQQBBAEEAQQBBAEEAQQBBAEEAQQBBAEEAQQBBAEEAQQBBAEEAQQBBAEEAQQBBAEEAQQBBAEEAQQBBAEEAQQBBAEEAQQBBAEEAQQBBAEEAQQBBAEEAQQBBAEEAQQA9AA0ACgBOAE0AOgBDAGgAYQByAHQAXwBMAGUAZwBlAG4AZABDAG8AbABvAHIADQAKAFQAUAA6ADAADQAKAFYAQQBMADoAMAANAAoATgBNADoAQwBoAGEAcgB0AF8ATABlAGcAZQBuAGQARgBvAG4AdAANAAoAVABQADoAMgANAAoAVgBBAEwAOgAjAEYATwBOAFQAIwAjACMAIwA5ADIAOgA5AGYALwAvAC8AdwBBAEEAQQBBAEEAQQBBAEEAQQBBAEEAQQBBAEEAQQBKAEEAQgBBAEEAQQBBAEEAQQBBAEEAQQB3AEkAQgBJAGsARQBBAGMAZwBCAHAAQQBHAEUAQQBiAEEAQQBBAEEAQQBBAEEAQQBBAEEAQQBBAEEAQQBBAEEAQQBBAEEAQQBBAEEAQQBBAEEAQQBBAEEAQQBBAEEAQQBBAEEAQQBBAEEAQQBBAEEAQQBBAEEAQQBBAEEAQQBBAEEAQQBBAEEAQQBBAEEAQQBBAEEAQQBBAEEAQQBBAEEAQQBBAEEAQQBBAEEAQQBBAEEAQQA9AA0ACgBOAE0AOgBDAGgAYQByAHQAXwBCAEsAQwBvAGwAbwByAA0ACgBUAFAAOgAwAA0ACgBWAEEATAA6ADEANgA3ADcANwAyADEANQANAAoATgBNADoAQwBoAGEAcgB0AF8AQgBvAHgAQwBvAGwAbwByAA0ACgBUAFAAOgAwAA0ACgBWAEEATAA6ADEANgA3ADcANwAyADEANQANAAoATgBNADoAWABfAEEAeABpAHMAXwBBAHUAdABvAHMAYwBhAGwAZQANAAoAVABQADoAMAANAAoAVgBBAEwAOgAxAA0ACgBOAE0AOgBYAF8AQQB4AGkAcwBfAE0AaQBuAA0ACgBUAFAAOgAxAA0ACgBWAEEATAA6AG4AYQBuAA0ACgBOAE0AOgBYAF8AQQB4AGkAcwBfAE0AYQB4AA0ACgBUAFAAOgAxAA0ACgBWAEEATAA6AG4AYQBuAA0ACgBOAE0AOgBYAF8AQQB4AGkAcwBfAFMAdABlAHAADQAKAFQAUAA6ADEADQAKAFYAQQBMADoAbgBhAG4ADQAKAE4ATQA6AFgAXwBBAHgAaQBzAF8AUwBjAGEAbABlAEYAYQBjAHQAbwByAA0ACgBUAFAAOgAxAA0ACgBWAEEATAA6AG4AYQBuAA0ACgBOAE0AOgBYAF8AQQB4AGkAcwBfAEYAbwByAG0AYQB0AA0ACgBUAFAAOgAwAA0ACgBWAEEATAA6AC0AMQANAAoATgBNADoAWABfAEEAeABpAHMAXwBDAHUAcwB0AG8AbQBGAG8AcgBtAGEAdAANAAoAVABQADoAMgANAAoAVgBBAEwAOgANAAoATgBNADoAWABfAEEAeABpAHMAXwBMAG8AZwBhAHIAaQB0AGgAbQBpAGMADQAKAFQAUAA6ADAADQAKAFYAQQBMADoAMAANAAoATgBNADoAWABfAEEAeABpAHMAXwBEAGUAYwBpAG0AYQBsAHMADQAKAFQAUAA6ADEADQAKAFYAQQBMADoAbgBhAG4ADQAKAE4ATQA6AFgAXwBBAHgAaQBzAF8ARABlAGMAaQBtAGEAbABzAEQAYQB0AGEADQAKAFQAUAA6ADEADQAKAFYAQQBMADoAbgBhAG4ADQAKAE4ATQA6AFgAXwBBAHgAaQBzAF8AUwBoAG8AdwBUAGkAdABsAGUADQAKAFQAUAA6ADAADQAKAFYAQQBMADoAMQANAAoATgBNADoAWABfAEEAeABpAHMAXwBUAGkAdABsAGUAQwBvAGwAbwByAA0ACgBUAFAAOgAwAA0ACgBWAEEATAA6ADAADQAKAE4ATQA6AFgAXwBBAHgAaQBzAF8AQwB1AHMAdABvAG0AVABpAHQAbABlAA0ACgBUAFAAOgAwAA0ACgBWAEEATAA6ADAADQAKAE4ATQA6AFgAXwBBAHgAaQBzAF8AVABpAHQAbABlAA0ACgBUAFAAOgAyAA0ACgBWAEEATAA6AA0ACgBOAE0AOgBYAF8AQQB4AGkAcwBfAFQAaQB0AGwAZQBGAG8AbgB0AA0ACgBUAFAAOgAyAA0ACgBWAEEATAA6ACMARgBPAE4AVAAjACMAIwAjADkAMgA6ADkAZgAvAC8ALwB3AEEAQQBBAEEAQQBBAEEAQQBBAEEAQQBBAEEAQQBBAEwAdwBDAEEAQQBBAEEAQQBBAEEAQQBBAHcASQBCAEkAawBFAEEAYwBnAEIAcABBAEcARQBBAGIAQQBBAEEAQQBBAEEAQQBBAEEAQQBBAEEAQQBBAEEAQQBBAEEAQQBBAEEAQQBBAEEAQQBBAEEAQQBBAEEAQQBBAEEAQQBBAEEAQQBBAEEAQQBBAEEAQQBBAEEAQQBBAEEAQQBBAEEAQQBBAEEAQQBBAEEAQQBBAEEAQQBBAEEAQQBBAEEAQQBBAEEAQQBBAEEAQQBBAD0ADQAKAE4ATQA6AFgAXwBBAHgAaQBzAF8AUwBoAG8AdwBHAHIAaQBkAGwAaQBuAGUAcwANAAoAVABQADoAMAANAAoAVgBBAEwAOgAwAA0ACgBOAE0AOgBYAF8AQQB4AGkAcwBfAEcAcgBpAGQAbABpAG4AZQBDAG8AbABvAHIADQAKAFQAUAA6ADAADQAKAFYAQQBMADoAMQAwADAANwAwADEAOAA4AA0ACgBOAE0AOgBYAF8AQQB4AGkAcwBfAEcAcgBpAGQAbABpAG4AZQBzAFMAdAB5AGwAZQANAAoAVABQADoAMAANAAoAVgBBAEwAOgAwAA0ACgBOAE0AOgBYAF8AQQB4AGkAcwBfAEcAcgBpAGQAbABpAG4AZQBzAFcAZQBpAGcAaAB0AA0ACgBUAFAAOgAwAA0ACgBWAEEATAA6ADEADQAKAE4ATQA6AFgAXwBBAHgAaQBzAF8ASQBuAHQAZQByAGwAYQBjAGUADQAKAFQAUAA6ADAADQAKAFYAQQBMADoAMAANAAoATgBNADoAWABfAEEAeABpAHMAXwBJAG4AdABlAHIAbABhAGMAZQBDAG8AbABvAHIADQAKAFQAUAA6ADAADQAKAFYAQQBMADoAMQA0ADgANwAyADUANgAxAA0ACgBOAE0AOgBYAF8AQQB4AGkAcwBfAFQAaQBjAGsATQBhAHIAawANAAoAVABQADoAMAANAAoAVgBBAEwAOgAxAA0ACgBOAE0AOgBYAF8AQQB4AGkAcwBfAEwAYQBiAGUAbABzAFMAdABhAGcAZwBlAHIAZQBkAA0ACgBUAFAAOgAwAA0ACgBWAEEATAA6ADAADQAKAE4ATQA6AFgAXwBBAHgAaQBzAF8ATABhAGIAZQBsAHMAQQBuAGcAbABlAA0ACgBUAFAAOgAxAA0ACgBWAEEATAA6AG4AYQBuAA0ACgBOAE0AOgBYAF8AQQB4AGkAcwBfAEwAYQBiAGUAbABzAEMAbwBsAG8AcgANAAoAVABQADoAMAANAAoAVgBBAEwAOgAwAA0ACgBOAE0AOgBYAF8AQQB4AGkAcwBfAEwAYQBiAGUAbABzAEYAbwBuAHQADQAKAFQAUAA6ADIADQAKAFYAQQBMADoAIwBGAE8ATgBUACMAIwAjACMAOQAyADoAOQBmAC8ALwAvAHcAQQBBAEEAQQBBAEEAQQBBAEEAQQBBAEEAQQBBAEEASgBBAEIAQQBBAEEAQQBBAEEAQQBBAEEAdwBJAEIASQBrAEUAQQBjAGcAQgBwAEEARwBFAEEAYgBBAEEAQQBBAEEAQQBBAEEAQQBBAEEAQQBBAEEAQQBBAEEAQQBBAEEAQQBBAEEAQQBBAEEAQQBBAEEAQQBBAEEAQQBBAEEAQQBBAEEAQQBBAEEAQQBBAEEAQQBBAEEAQQBBAEEAQQBBAEEAQQBBAEEAQQBBAEEAQQBBAEEAQQBBAEEAQQBBAEEAQQBBAEEAQQBBAEEAPQANAAoATgBNADoAWQBfAEEAeABpAHMAXwBBAHUAdABvAHMAYwBhAGwAZQANAAoAVABQADoAMAANAAoAVgBBAEwAOgAxAA0ACgBOAE0AOgBZAF8AQQB4AGkAcwBfAE0AaQBuAA0ACgBUAFAAOgAxAA0ACgBWAEEATAA6AG4AYQBuAA0ACgBOAE0AOgBZAF8AQQB4AGkAcwBfAE0AYQB4AA0ACgBUAFAAOgAxAA0ACgBWAEEATAA6AG4AYQBuAA0ACgBOAE0AOgBZAF8AQQB4AGkAcwBfAFMAdABlAHAADQAKAFQAUAA6ADEADQAKAFYAQQBMADoAbgBhAG4ADQAKAE4ATQA6AFkAXwBBAHgAaQBzAF8AUwBjAGEAbABlAEYAYQBjAHQAbwByAA0ACgBUAFAAOgAxAA0ACgBWAEEATAA6AG4AYQBuAA0ACgBOAE0AOgBZAF8AQQB4AGkAcwBfAEYAbwByAG0AYQB0AA0ACgBUAFAAOgAwAA0ACgBWAEEATAA6AC0AMQANAAoATgBNADoAWQBfAEEAeABpAHMAXwBDAHUAcwB0AG8AbQBGAG8AcgBtAGEAdAANAAoAVABQADoAMgANAAoAVgBBAEwAOgANAAoATgBNADoAWQBfAEEAeABpAHMAXwBMAG8AZwBhAHIAaQB0AGgAbQBpAGMADQAKAFQAUAA6ADAADQAKAFYAQQBMADoAMAANAAoATgBNADoAWQBfAEEAeABpAHMAXwBEAGUAYwBpAG0AYQBsAHMADQAKAFQAUAA6ADEADQAKAFYAQQBMADoAbgBhAG4ADQAKAE4ATQA6AFkAXwBBAHgAaQBzAF8ARABlAGMAaQBtAGEAbABzAEQAYQB0AGEADQAKAFQAUAA6ADEADQAKAFYAQQBMADoAbgBhAG4ADQAKAE4ATQA6AFkAXwBBAHgAaQBzAF8AUwBoAG8AdwBUAGkAdABsAGUADQAKAFQAUAA6ADAADQAKAFYAQQBMADoAMQANAAoATgBNADoAWQBfAEEAeABpAHMAXwBUAGkAdABsAGUAQwBvAGwAbwByAA0ACgBUAFAAOgAwAA0ACgBWAEEATAA6ADAADQAKAE4ATQA6AFkAXwBBAHgAaQBzAF8AQwB1AHMAdABvAG0AVABpAHQAbABlAA0ACgBUAFAAOgAwAA0ACgBWAEEATAA6ADAADQAKAE4ATQA6AFkAXwBBAHgAaQBzAF8AVABpAHQAbABlAA0ACgBUAFAAOgAyAA0ACgBWAEEATAA6AA0ACgBOAE0AOgBZAF8AQQB4AGkAcwBfAFQAaQB0AGwAZQBGAG8AbgB0AA0ACgBUAFAAOgAyAA0ACgBWAEEATAA6ACMARgBPAE4AVAAjACMAIwAjADkAMgA6ADkAZgAvAC8ALwB3AEEAQQBBAEEAQQBBAEEAQQBBAEEAQQBBAEEAQQBBAEwAdwBDAEEAQQBBAEEAQQBBAEEAQQBBAHcASQBCAEkAawBFAEEAYwBnAEIAcABBAEcARQBBAGIAQQBBAEEAQQBBAEEAQQBBAEEAQQBBAEEAQQBBAEEAQQBBAEEAQQBBAEEAQQBBAEEAQQBBAEEAQQBBAEEAQQBBAEEAQQBBAEEAQQBBAEEAQQBBAEEAQQBBAEEAQQBBAEEAQQBBAEEAQQBBAEEAQQBBAEEAQQBBAEEAQQBBAEEAQQBBAEEAQQBBAEEAQQBBAEEAQQBBAD0ADQAKAE4ATQA6AFkAXwBBAHgAaQBzAF8AUwBoAG8AdwBHAHIAaQBkAGwAaQBuAGUAcwANAAoAVABQADoAMAANAAoAVgBBAEwAOgAwAA0ACgBOAE0AOgBZAF8AQQB4AGkAcwBfAEcAcgBpAGQAbABpAG4AZQBDAG8AbABvAHIADQAKAFQAUAA6ADAADQAKAFYAQQBMADoAMQAwADAANwAwADEAOAA4AA0ACgBOAE0AOgBZAF8AQQB4AGkAcwBfAEcAcgBpAGQAbABpAG4AZQBzAFMAdAB5AGwAZQANAAoAVABQADoAMAANAAoAVgBBAEwAOgAwAA0ACgBOAE0AOgBZAF8AQQB4AGkAcwBfAEcAcgBpAGQAbABpAG4AZQBzAFcAZQBpAGcAaAB0AA0ACgBUAFAAOgAwAA0ACgBWAEEATAA6ADEADQAKAE4ATQA6AFkAXwBBAHgAaQBzAF8ASQBuAHQAZQByAGwAYQBjAGUADQAKAFQAUAA6ADAADQAKAFYAQQBMADoAMAANAAoATgBNADoAWQBfAEEAeABpAHMAXwBJAG4AdABlAHIAbABhAGMAZQBDAG8AbABvAHIADQAKAFQAUAA6ADAADQAKAFYAQQBMADoAMQA0ADgANwAyADUANgAxAA0ACgBOAE0AOgBZAF8AQQB4AGkAcwBfAFQAaQBjAGsATQBhAHIAawANAAoAVABQADoAMAANAAoAVgBBAEwAOgAxAA0ACgBOAE0AOgBZAF8AQQB4AGkAcwBfAEwAYQBiAGUAbABzAFMAdABhAGcAZwBlAHIAZQBkAA0ACgBUAFAAOgAwAA0ACgBWAEEATAA6ADAADQAKAE4ATQA6AFkAXwBBAHgAaQBzAF8ATABhAGIAZQBsAHMAQQBuAGcAbABlAA0ACgBUAFAAOgAxAA0ACgBWAEEATAA6AG4AYQBuAA0ACgBOAE0AOgBZAF8AQQB4AGkAcwBfAEwAYQBiAGUAbABzAEMAbwBsAG8AcgANAAoAVABQADoAMAANAAoAVgBBAEwAOgAwAA0ACgBOAE0AOgBZAF8AQQB4AGkAcwBfAEwAYQBiAGUAbABzAEYAbwBuAHQADQAKAFQAUAA6ADIADQAKAFYAQQBMADoAIwBGAE8ATgBUACMAIwAjACMAOQAyADoAOQBmAC8ALwAvAHcAQQBBAEEAQQBBAEEAQQBBAEEAQQBBAEEAQQBBAEEASgBBAEIAQQBBAEEAQQBBAEEAQQBBAEEAdwBJAEIASQBrAEUAQQBjAGcAQgBwAEEARwBFAEEAYgBBAEEAQQBBAEEAQQBBAEEAQQBBAEEAQQBBAEEAQQBBAEEAQQBBAEEAQQBBAEEAQQBBAEEAQQBBAEEAQQBBAEEAQQBBAEEAQQBBAEEAQQBBAEEAQQBBAEEAQQBBAEEAQQBBAEEAQQBBAEEAQQBBAEEAQQBBAEEAQQBBAEEAQQBBAEEAQQBBAEEAQQBBAEEAQQBBAEEAPQANAAoATgBNADoASABTAFMAbABpAGQAZQByAF8AVAB5AHAAZQAxAA0ACgBUAFAAOgAwAA0ACgBWAEEATAA6ADEADQAKAE4ATQA6AEgAUwBTAGwAaQBkAGUAcgBfAFQAeQBwAGUAMgANAAoAVABQADoAMAANAAoAVgBBAEwAOgAxAA0ACgBOAE0AOgBIAFMAUwBsAGkAZABlAHIAXwBQADEADQAKAFQAUAA6ADEADQAKAFYAQQBMADoAMAAuADkAOQA5ADkAMAAwADAAMQAwADAADQAKAE4ATQA6AEgAUwBTAGwAaQBkAGUAcgBfAFAAMgANAAoAVABQADoAMQANAAoAVgBBAEwAOgAwAC4AOQA5ADkAOQAwADAAMAAxADAAMAANAAoATgBNADoASABTAFMAbABpAGQAZQByAF8AWAAxAA0ACgBUAFAAOgAxAA0ACgBWAEEATAA6ADUAMAAwADUANgA4ADkALgAyADkAMgA5ADQANwA2ADAANAAzAA0ACgBOAE0AOgBIAFMAUwBsAGkAZABlAHIAXwBYADIADQAKAFQAUAA6ADEADQAKAFYAQQBMADoANQAwADAANQA2ADgAOQAuADIAOQAyADkANAA3ADYAMAA0ADMADQAKAE4ATQA6AEgAUwBTAGwAaQBkAGUAcgBfAEwAYQBiAGUAbABUAHkAcABlAA0ACgBUAFAAOgAwAA0ACgBWAEEATAA6ADIADQAKAE4ATQA6AEgAUwBTAGwAaQBkAGUAcgBfAEYAbwBuAHQADQAKAFQAUAA6ADIADQAKAFYAQQBMADoAIwBGAE8ATgBUACMAIwAjACMAOQAyADoAOQBQAC8ALwAvAHcAQQBBAEEAQQBBAEEAQQBBAEEAQQBBAEEAQQBBAEEASgBBAEIAQQBBAEEAQQBBAEEARABNAEEAdwBJAEIASQBrAEUAQQBjAGcAQgBwAEEARwBFAEEAYgBBAEEAQQBBAEEAQQBBAEEAQQBBAEEAQQBBAEEAQQBBAEEAQQBBAEEAQQBBAEEAQQBBAEEAQQBBAEEAQQBBAEEAQQBBAEEAQQBBAEEAQQBBAEEAQQBBAEEAQQBBAEEAQQBBAEEAQQBBAEEAQQBBAEEAQQBBAEEAQQBBAEEAQQBBAEEAQQBBAEEAQQBBAEEAQQBBAEEAPQANAAoATgBNADoASABTAFMAbABpAGQAZQByAF8AQwBvAGwAbwByADEADQAKAFQAUAA6ADAADQAKAFYAQQBMADoAMwA2ADgAMwA1ADMANwANAAoATgBNADoASABTAFMAbABpAGQAZQByAF8AQwBvAGwAbwByADIADQAKAFQAUAA6ADAADQAKAFYAQQBMADoAMQAyADAAOQAxADkAOAAxAA0ACgBOAE0AOgBIAFMAUwBsAGkAZABlAHIAXwBTAGgAYQBkAGkAbgBnAFQAeQBwAGUADQAKAFQAUAA6ADAADQAKAFYAQQBMADoAMAANAAoATgBNADoASABTAFMAbABpAGQAZQByAF8AUwBoAGEAZABpAG4AZwBQAGEAdAB0AGUAcgBuAA0ACgBUAFAAOgAwAA0ACgBWAEEATAA6AC0AMQANAAoATgBNADoASABTAEgAZQBhAGQAZQByAFMAZQBjAHQAXwBDAG8AbABvAHIATwB1AHQADQAKAFQAUAA6ADAADQAKAFYAQQBMADoAMQA2ADcAMQAxADYAOAAwAA0ACgBOAE0AOgBIAFMASABlAGEAZABlAHIAUwBlAGMAdABfAEMAbwBsAG8AcgBJAG4ADQAKAFQAUAA6ADAADQAKAFYAQQBMADoAMgA1ADUADQAKAE4ATQA6AEgAUwBIAGUAYQBkAGUAcgBTAGUAYwB0AF8AQwBvAGwAbwByAFQAZQB4AHQADQAKAFQAUAA6ADAADQAKAFYAQQBMADoAMQA2ADcANwA3ADIAMQA1AA0ACgBOAE0AOgBIAFMASABlAGEAZABlAHIAUwBlAGMAdABfAEYAbwBuAHQADQAKAFQAUAA6ADIADQAKAFYAQQBMADoAIwBGAE8ATgBUACMAIwAjACMAOQAyADoAOQBQAC8ALwAvAHcAQQBBAEEAQQBBAEEAQQBBAEEAQQBBAEEAQQBBAEEATAB3AEMAQQBBAEEAQQBBAEEARABNAEEAdwBJAEIASQBrAE0AQQBiAHcAQgAxAEEASABJAEEAYQBRAEIAbABBAEgASQBBAEkAQQBCAE8AQQBHAFUAQQBkAHcAQQBBAEEAQQBBAEEAQQBBAEEAQQBBAEEAQQBBAEEAQQBBAEEAQQBBAEEAQQBBAEEAQQBBAEEAQQBBAEEAQQBBAEEAQQBBAEEAQQBBAEEAQQBBAEEAQQBBAEEAQQBBAEEAQQBBAEEAQQBBAEEAQQBBAEEAPQANAAoATgBNADoASABTAF8AWABfAEQAZQBjAGkAbQBhAGwAcwANAAoAVABQADoAMQANAAoAVgBBAEwAOgBuAGEAbgANAAoATgBNADoASABTAF8AUABfAEQAZQBjAGkAbQBhAGwAcwANAAoAVABQADoAMQANAAoAVgBBAEwAOgBuAGEAbgANAAoATgBNADoAUwBoAG8AdwBNAGEAcgBrAGUAcgBzAA0ACgBUAFAAOgAwAA0ACgBWAEEATAA6ADEADQAKAE4ATQA6AE0AYQByAGsAZQByAHMATgB1AG0AYgBlAHIADQAKAFQAUAA6ADAADQAKAFYAQQBMADoANAANAAoATgBNADoASABTAE0AYQByAGsAZQByAFMAaABvAHcAMAANAAoAVABQADoAMAANAAoAVgBBAEwAOgAwAA0ACgBOAE0AOgBIAFMATQBhAHIAawBlAHIAVAB5AHAAZQAwAA0ACgBUAFAAOgAwAA0ACgBWAEEATAA6ADMADQAKAE4ATQA6AEgAUwBNAGEAcgBrAGUAcgBWAGEAbAB1AGUAMAANAAoAVABQADoAMQANAAoAVgBBAEwAOgAwAA0ACgBOAE0AOgBIAFMATQBhAHIAawBlAHIATABhAGIAZQBsAFQAeQBwAGUAMAANAAoAVABQADoAMAANAAoAVgBBAEwAOgAxAA0ACgBOAE0AOgBIAFMATQBhAHIAawBlAHIARgBvAG4AdAAwAA0ACgBUAFAAOgAyAA0ACgBWAEEATAA6ACMARgBPAE4AVAAjACMAIwAjADkAMgA6ADkAUAAvAC8ALwB3AEEAQQBBAEEAQQBBAEEAQQBBAEEAQQBBAEEAQQBBAEwAdwBDAEEAQQBBAEEAQQBBAEQATQBBAHcASQBCAEkAawBFAEEAYwBnAEIAcABBAEcARQBBAGIAQQBBAEEAQQBBAEEAQQBBAEEAQQBBAEEAQQBBAEEAQQBBAEEAQQBBAEEAQQBBAEEAQQBBAEEAQQBBAEEAQQBBAEEAQQBBAEEAQQBBAEEAQQBBAEEAQQBBAEEAQQBBAEEAQQBBAEEAQQBBAEEAQQBBAEEAQQBBAEEAQQBBAEEAQQBBAEEAQQBBAEEAQQBBAEEAQQBBAD0ADQAKAE4ATQA6AEgAUwBNAGEAcgBrAGUAcgBDAGwAcgBUAGUAeAB0ADAADQAKAFQAUAA6ADAADQAKAFYAQQBMADoAMQAyADAAOQAxADkAOAAxAA0ACgBOAE0AOgBIAFMATQBhAHIAawBlAHIAQwBsAHIAMAANAAoAVABQADoAMAANAAoAVgBBAEwAOgAxADIAMAA5ADEAOQA4ADEADQAKAE4ATQA6AEgAUwBNAGEAcgBrAGUAcgBTAHQAeQBsAGUAMAANAAoAVABQADoAMAANAAoAVgBBAEwAOgAxAA0ACgBOAE0AOgBIAFMATQBhAHIAawBlAHIAVwBlAGkAZwBoAHQAMAANAAoAVABQADoAMAANAAoAVgBBAEwAOgAxAA0ACgBOAE0AOgBIAFMATQBhAHIAawBlAHIAQQBsAGkAZwBuAFYAMAANAAoAVABQADoAMAANAAoAVgBBAEwAOgAwAA0ACgBOAE0AOgBIAFMATQBhAHIAawBlAHIAQQBsAGkAZwBuAEgAMAANAAoAVABQADoAMAANAAoAVgBBAEwAOgAwAA0ACgBOAE0AOgBIAFMATQBhAHIAawBlAHIAUwBoAG8AdwAxAA0ACgBUAFAAOgAwAA0ACgBWAEEATAA6ADAADQAKAE4ATQA6AEgAUwBNAGEAcgBrAGUAcgBUAHkAcABlADEADQAKAFQAUAA6ADAADQAKAFYAQQBMADoANAANAAoATgBNADoASABTAE0AYQByAGsAZQByAFYAYQBsAHUAZQAxAA0ACgBUAFAAOgAxAA0ACgBWAEEATAA6ADAADQAKAE4ATQA6AEgAUwBNAGEAcgBrAGUAcgBMAGEAYgBlAGwAVAB5AHAAZQAxAA0ACgBUAFAAOgAwAA0ACgBWAEEATAA6ADEADQAKAE4ATQA6AEgAUwBNAGEAcgBrAGUAcgBGAG8AbgB0ADEADQAKAFQAUAA6ADIADQAKAFYAQQBMADoAIwBGAE8ATgBUACMAIwAjACMAOQAyADoAOQBQAC8ALwAvAHcAQQBBAEEAQQBBAEEAQQBBAEEAQQBBAEEAQQBBAEEATAB3AEMAQQBBAEEAQQBBAEEARABNAEEAdwBJAEIASQBrAEUAQQBjAGcAQgBwAEEARwBFAEEAYgBBAEEAQQBBAEEAQQBBAEEAQQBBAEEAQQBBAEEAQQBBAEEAQQBBAEEAQQBBAEEAQQBBAEEAQQBBAEEAQQBBAEEAQQBBAEEAQQBBAEEAQQBBAEEAQQBBAEEAQQBBAEEAQQBBAEEAQQBBAEEAQQBBAEEAQQBBAEEAQQBBAEEAQQBBAEEAQQBBAEEAQQBBAEEAQQBBAEEAPQANAAoATgBNADoASABTAE0AYQByAGsAZQByAEMAbAByAFQAZQB4AHQAMQANAAoAVABQADoAMAANAAoAVgBBAEwAOgAxADIAMAA5ADEAOQA4ADEADQAKAE4ATQA6AEgAUwBNAGEAcgBrAGUAcgBDAGwAcgAxAA0ACgBUAFAAOgAwAA0ACgBWAEEATAA6ADEAMgAwADkAMQA5ADgAMQANAAoATgBNADoASABTAE0AYQByAGsAZQByAFMAdAB5AGwAZQAxAA0ACgBUAFAAOgAwAA0ACgBWAEEATAA6ADEADQAKAE4ATQA6AEgAUwBNAGEAcgBrAGUAcgBXAGUAaQBnAGgAdAAxAA0ACgBUAFAAOgAwAA0ACgBWAEEATAA6ADEADQAKAE4ATQA6AEgAUwBNAGEAcgBrAGUAcgBBAGwAaQBnAG4AVgAxAA0ACgBUAFAAOgAwAA0ACgBWAEEATAA6ADAADQAKAE4ATQA6AEgAUwBNAGEAcgBrAGUAcgBBAGwAaQBnAG4ASAAxAA0ACgBUAFAAOgAwAA0ACgBWAEEATAA6ADIADQAKAE4ATQA6AEgAUwBNAGEAcgBrAGUAcgBTAGgAbwB3ADIADQAKAFQAUAA6ADAADQAKAFYAQQBMADoAMAANAAoATgBNADoASABTAE0AYQByAGsAZQByAFQAeQBwAGUAMgANAAoAVABQADoAMAANAAoAVgBBAEwAOgA1AA0ACgBOAE0AOgBIAFMATQBhAHIAawBlAHIAVgBhAGwAdQBlADIADQAKAFQAUAA6ADEADQAKAFYAQQBMADoAMAANAAoATgBNADoASABTAE0AYQByAGsAZQByAEwAYQBiAGUAbABUAHkAcABlADIADQAKAFQAUAA6ADAADQAKAFYAQQBMADoAMQANAAoATgBNADoASABTAE0AYQByAGsAZQByAEYAbwBuAHQAMgANAAoAVABQADoAMgANAAoAVgBBAEwAOgAjAEYATwBOAFQAIwAjACMAIwA5ADIAOgA5AFAALwAvAC8AdwBBAEEAQQBBAEEAQQBBAEEAQQBBAEEAQQBBAEEAQQBMAHcAQwBBAEEAQQBBAEEAQQBEAE0AQQB3AEkAQgBJAGsARQBBAGMAZwBCAHAAQQBHAEUAQQBiAEEAQQBBAEEAQQBBAEEAQQBBAEEAQQBBAEEAQQBBAEEAQQBBAEEAQQBBAEEAQQBBAEEAQQBBAEEAQQBBAEEAQQBBAEEAQQBBAEEAQQBBAEEAQQBBAEEAQQBBAEEAQQBBAEEAQQBBAEEAQQBBAEEAQQBBAEEAQQBBAEEAQQBBAEEAQQBBAEEAQQBBAEEAQQBBAEEAQQA9AA0ACgBOAE0AOgBIAFMATQBhAHIAawBlAHIAQwBsAHIAVABlAHgAdAAyAA0ACgBUAFAAOgAwAA0ACgBWAEEATAA6ADEAMgAwADkAMQA5ADgAMQANAAoATgBNADoASABTAE0AYQByAGsAZQByAEMAbAByADIADQAKAFQAUAA6ADAADQAKAFYAQQBMADoAMQAyADAAOQAxADkAOAAxAA0ACgBOAE0AOgBIAFMATQBhAHIAawBlAHIAUwB0AHkAbABlADIADQAKAFQAUAA6ADAADQAKAFYAQQBMADoAMQANAAoATgBNADoASABTAE0AYQByAGsAZQByAFcAZQBpAGcAaAB0ADIADQAKAFQAUAA6ADAADQAKAFYAQQBMADoAMQANAAoATgBNADoASABTAE0AYQByAGsAZQByAEEAbABpAGcAbgBWADIADQAKAFQAUAA6ADAADQAKAFYAQQBMADoAMgANAAoATgBNADoASABTAE0AYQByAGsAZQByAEEAbABpAGcAbgBIADIADQAKAFQAUAA6ADAADQAKAFYAQQBMADoAMQANAAoATgBNADoASABTAE0AYQByAGsAZQByAFMAaABvAHcAMwANAAoAVABQADoAMAANAAoAVgBBAEwAOgAwAA0ACgBOAE0AOgBIAFMATQBhAHIAawBlAHIAVAB5AHAAZQAzAA0ACgBUAFAAOgAwAA0ACgBWAEEATAA6ADYADQAKAE4ATQA6AEgAUwBNAGEAcgBrAGUAcgBWAGEAbAB1AGUAMwANAAoAVABQADoAMQANAAoAVgBBAEwAOgAwAA0ACgBOAE0AOgBIAFMATQBhAHIAawBlAHIATABhAGIAZQBsAFQAeQBwAGUAMwANAAoAVABQADoAMAANAAoAVgBBAEwAOgAxAA0ACgBOAE0AOgBIAFMATQBhAHIAawBlAHIARgBvAG4AdAAzAA0ACgBUAFAAOgAyAA0ACgBWAEEATAA6ACMARgBPAE4AVAAjACMAIwAjADkAMgA6ADkAUAAvAC8ALwB3AEEAQQBBAEEAQQBBAEEAQQBBAEEAQQBBAEEAQQBBAEwAdwBDAEEAQQBBAEEAQQBBAEQATQBBAHcASQBCAEkAawBFAEEAYwBnAEIAcABBAEcARQBBAGIAQQBBAEEAQQBBAEEAQQBBAEEAQQBBAEEAQQBBAEEAQQBBAEEAQQBBAEEAQQBBAEEAQQBBAEEAQQBBAEEAQQBBAEEAQQBBAEEAQQBBAEEAQQBBAEEAQQBBAEEAQQBBAEEAQQBBAEEAQQBBAEEAQQBBAEEAQQBBAEEAQQBBAEEAQQBBAEEAQQBBAEEAQQBBAEEAQQBBAD0ADQAKAE4ATQA6AEgAUwBNAGEAcgBrAGUAcgBDAGwAcgBUAGUAeAB0ADMADQAKAFQAUAA6ADAADQAKAFYAQQBMADoAMQAyADAAOQAxADkAOAAxAA0ACgBOAE0AOgBIAFMATQBhAHIAawBlAHIAQwBsAHIAMwANAAoAVABQADoAMAANAAoAVgBBAEwAOgAxADIAMAA5ADEAOQA4ADEADQAKAE4ATQA6AEgAUwBNAGEAcgBrAGUAcgBTAHQAeQBsAGUAMwANAAoAVABQADoAMAANAAoAVgBBAEwAOgAxAA0ACgBOAE0AOgBIAFMATQBhAHIAawBlAHIAVwBlAGkAZwBoAHQAMwANAAoAVABQADoAMAANAAoAVgBBAEwAOgAxAA0ACgBOAE0AOgBIAFMATQBhAHIAawBlAHIAQQBsAGkAZwBuAFYAMwANAAoAVABQADoAMAANAAoAVgBBAEwAOgAxAA0ACgBOAE0AOgBIAFMATQBhAHIAawBlAHIAQQBsAGkAZwBuAEgAMwANAAoAVABQADoAMAANAAoAVgBBAEwAOgAxAA0ACgA8AC8ATwBQAFQASQBPAE4AUwA+AA0ACgBOADoAMgANAAoAVABZAFAARQA6ADEAMQANAAoATgBNADoAUABhAHIAZQB0AG8ADQAKAFMASQBNAEkARAA6ADAADQAKAFMARQBMAFMAOgAxAA0ACgBDAFUAUgBTAEUATAA6ADAADQAKAFQAUAA6ADAADQAKAFIARwA6ADAADQAKAE4ATQA6ACcAWwAjACMAVABIAEkAUwBXAEIAIwAjAF0AUAByAGkAdgBhAGMAeQAnACEATAAkADEAMwANAAoAQwBMAFIAOgA2ADUAOAAxADIAMwAxAA0ACgBUAFIAQQBOAFMAUAA6ADUAMAANAAoAUwBJAE0AOgAwAA0ACgA8AFMARQBMAF8ATwBQAFQASQBPAE4AUwA+AA0ACgBDAE4AVAA6ADMADQAKAE4ATQA6ADMADQAKAFQAUAA6ADEADQAKAFYAQQBMADoAMAAuADEAMAAwADAAMAAwADAAMAAwADAADQAKAE4ATQA6ADQADQAKAFQAUAA6ADEADQAKAFYAQQBMADoAMAAuADkAMAAwADAAMAAwADAAMAAwADAADQAKAE4ATQA6ADUADQAKAFQAUAA6ADIADQAKAFYAQQBMADoADQAKADwALwBTAEUATABfAE8AUABUAEkATwBOAFMAPgANAAoAPABPAFAAVABJAE8ATgBTAD4ADQAKAEMATgBUADoAMQA1ADgADQAKAE4ATQA6AEMAaABhAHIAdABfAFQAaQB0AGwAZQANAAoAVABQADoAMgANAAoAVgBBAEwAOgANAAoATgBNADoAcwBsAGkAZABlAHIAcwANAAoAVABQADoAMAANAAoAVgBBAEwAOgAxAA0ACgBOAE0AOgBzAGwAaQBkAGUAcgBzAF8AYwB1AG0AdQBsAA0ACgBUAFAAOgAwAA0ACgBWAEEATAA6ADAADQAKAE4ATQA6AGwAZQBnAGUAbgBkAA0ACgBUAFAAOgAwAA0ACgBWAEEATAA6ADAADQAKAE4ATQA6AE4AQgBhAHIAcwANAAoAVABQADoAMAANAAoAVgBBAEwAOgAtADEADQAKAE4ATQA6AEwAaQBuAGUAcwANAAoAVABQADoAMAANAAoAVgBBAEwAOgAwAA0ACgBOAE0AOgBZAEwAYQBiAGUAbAANAAoAVABQADoAMgANAAoAVgBBAEwAOgANAAoATgBNADoATwB2AGUAcgBsAGEAeQBWAGEAcgBzAA0ACgBUAFAAOgAwAA0ACgBWAEEATAA6ADMADQAKAE4ATQA6AEMAaABhAHIAdABfAFMAaABvAHcAVABpAHQAbABlAA0ACgBUAFAAOgAwAA0ACgBWAEEATAA6ADEADQAKAE4ATQA6AEMAaABhAHIAdABfAFQAaQB0AGwAZQBDAG8AbABvAHIADQAKAFQAUAA6ADAADQAKAFYAQQBMADoAMAANAAoATgBNADoAQwBoAGEAcgB0AF8AVABpAHQAbABlAEYAbwBuAHQADQAKAFQAUAA6ADIADQAKAFYAQQBMADoAIwBGAE8ATgBUACMAIwAjACMAOQAyADoAOABQAC8ALwAvAHcAQQBBAEEAQQBBAEEAQQBBAEEAQQBBAEEAQQBBAEEATAB3AEMAQQBBAEEAQQBBAEEAQQBBAEEAdwBJAEIASQBrAEUAQQBjAGcAQgBwAEEARwBFAEEAYgBBAEEAQQBBAEEAQQBBAEEAQQBBAEEAQQBBAEEAQQBBAEEAQQBBAEEAQQBBAEEAQQBBAEEAQQBBAEEAQQBBAEEAQQBBAEEAQQBBAEEAQQBBAEEAQQBBAEEAQQBBAEEAQQBBAEEAQQBBAEEAQQBBAEEAQQBBAEEAQQBBAEEAQQBBAEEAQQBBAEEAQQBBAEEAQQBBAEEAPQANAAoATgBNADoAQwBoAGEAcgB0AF8ATABlAGcAZQBuAGQAQwBvAGwAbwByAA0ACgBUAFAAOgAwAA0ACgBWAEEATAA6ADAADQAKAE4ATQA6AEMAaABhAHIAdABfAEwAZQBnAGUAbgBkAEYAbwBuAHQADQAKAFQAUAA6ADIADQAKAFYAQQBMADoAIwBGAE8ATgBUACMAIwAjACMAOQAyADoAOQBmAC8ALwAvAHcAQQBBAEEAQQBBAEEAQQBBAEEAQQBBAEEAQQBBAEEASgBBAEIAQQBBAEEAQQBBAEEAQQBBAEEAdwBJAEIASQBrAEUAQQBjAGcAQgBwAEEARwBFAEEAYgBBAEEAQQBBAEEAQQBBAEEAQQBBAEEAQQBBAEEAQQBBAEEAQQBBAEEAQQBBAEEAQQBBAEEAQQBBAEEAQQBBAEEAQQBBAEEAQQBBAEEAQQBBAEEAQQBBAEEAQQBBAEEAQQBBAEEAQQBBAEEAQQBBAEEAQQBBAEEAQQBBAEEAQQBBAEEAQQBBAEEAQQBBAEEAQQBBAEEAPQANAAoATgBNADoAQwBoAGEAcgB0AF8AQgBLAEMAbwBsAG8AcgANAAoAVABQADoAMAANAAoAVgBBAEwAOgAxADYANwA3ADcAMgAxADUADQAKAE4ATQA6AEMAaABhAHIAdABfAEIAbwB4AEMAbwBsAG8AcgANAAoAVABQADoAMAANAAoAVgBBAEwAOgAxADYANwA3ADcAMgAxADUADQAKAE4ATQA6AEwAaQBuAGUAVAB5AHAAZQANAAoAVABQADoAMAANAAoAVgBBAEwAOgAxAA0ACgBOAE0AOgBYAF8AQQB4AGkAcwBfAEEAdQB0AG8AcwBjAGEAbABlAA0ACgBUAFAAOgAwAA0ACgBWAEEATAA6ADEADQAKAE4ATQA6AFgAXwBBAHgAaQBzAF8ATQBpAG4ADQAKAFQAUAA6ADEADQAKAFYAQQBMADoAbgBhAG4ADQAKAE4ATQA6AFgAXwBBAHgAaQBzAF8ATQBhAHgADQAKAFQAUAA6ADEADQAKAFYAQQBMADoAbgBhAG4ADQAKAE4ATQA6AFgAXwBBAHgAaQBzAF8AUwB0AGUAcAANAAoAVABQADoAMQANAAoAVgBBAEwAOgBuAGEAbgANAAoATgBNADoAWABfAEEAeABpAHMAXwBTAGMAYQBsAGUARgBhAGMAdABvAHIADQAKAFQAUAA6ADEADQAKAFYAQQBMADoAbgBhAG4ADQAKAE4ATQA6AFgAXwBBAHgAaQBzAF8ARgBvAHIAbQBhAHQADQAKAFQAUAA6ADAADQAKAFYAQQBMADoALQAxAA0ACgBOAE0AOgBYAF8AQQB4AGkAcwBfAEMAdQBzAHQAbwBtAEYAbwByAG0AYQB0AA0ACgBUAFAAOgAyAA0ACgBWAEEATAA6AA0ACgBOAE0AOgBYAF8AQQB4AGkAcwBfAEwAbwBnAGEAcgBpAHQAaABtAGkAYwANAAoAVABQADoAMAANAAoAVgBBAEwAOgAwAA0ACgBOAE0AOgBYAF8AQQB4AGkAcwBfAEQAZQBjAGkAbQBhAGwAcwANAAoAVABQADoAMQANAAoAVgBBAEwAOgBuAGEAbgANAAoATgBNADoAWABfAEEAeABpAHMAXwBEAGUAYwBpAG0AYQBsAHMARABhAHQAYQANAAoAVABQADoAMQANAAoAVgBBAEwAOgBuAGEAbgANAAoATgBNADoAWABfAEEAeABpAHMAXwBTAGgAbwB3AFQAaQB0AGwAZQANAAoAVABQADoAMAANAAoAVgBBAEwAOgAxAA0ACgBOAE0AOgBYAF8AQQB4AGkAcwBfAFQAaQB0AGwAZQBDAG8AbABvAHIADQAKAFQAUAA6ADAADQAKAFYAQQBMADoAMAANAAoATgBNADoAWABfAEEAeABpAHMAXwBDAHUAcwB0AG8AbQBUAGkAdABsAGUADQAKAFQAUAA6ADAADQAKAFYAQQBMADoAMAANAAoATgBNADoAWABfAEEAeABpAHMAXwBUAGkAdABsAGUADQAKAFQAUAA6ADIADQAKAFYAQQBMADoADQAKAE4ATQA6AFgAXwBBAHgAaQBzAF8AVABpAHQAbABlAEYAbwBuAHQADQAKAFQAUAA6ADIADQAKAFYAQQBMADoAIwBGAE8ATgBUACMAIwAjACMAOQAyADoAOQBmAC8ALwAvAHcAQQBBAEEAQQBBAEEAQQBBAEEAQQBBAEEAQQBBAEEATAB3AEMAQQBBAEEAQQBBAEEAQQBBAEEAdwBJAEIASQBrAEUAQQBjAGcAQgBwAEEARwBFAEEAYgBBAEEAQQBBAEEAQQBBAEEAQQBBAEEAQQBBAEEAQQBBAEEAQQBBAEEAQQBBAEEAQQBBAEEAQQBBAEEAQQBBAEEAQQBBAEEAQQBBAEEAQQBBAEEAQQBBAEEAQQBBAEEAQQBBAEEAQQBBAEEAQQBBAEEAQQBBAEEAQQBBAEEAQQBBAEEAQQBBAEEAQQBBAEEAQQBBAEEAPQANAAoATgBNADoAWABfAEEAeABpAHMAXwBTAGgAbwB3AEcAcgBpAGQAbABpAG4AZQBzAA0ACgBUAFAAOgAwAA0ACgBWAEEATAA6ADAADQAKAE4ATQA6AFgAXwBBAHgAaQBzAF8ARwByAGkAZABsAGkAbgBlAEMAbwBsAG8AcgANAAoAVABQADoAMAANAAoAVgBBAEwAOgAxADAAMAA3ADAAMQA4ADgADQAKAE4ATQA6AFgAXwBBAHgAaQBzAF8ARwByAGkAZABsAGkAbgBlAHMAUwB0AHkAbABlAA0ACgBUAFAAOgAwAA0ACgBWAEEATAA6ADAADQAKAE4ATQA6AFgAXwBBAHgAaQBzAF8ARwByAGkAZABsAGkAbgBlAHMAVwBlAGkAZwBoAHQADQAKAFQAUAA6ADAADQAKAFYAQQBMADoAMQANAAoATgBNADoAWABfAEEAeABpAHMAXwBJAG4AdABlAHIAbABhAGMAZQANAAoAVABQADoAMAANAAoAVgBBAEwAOgAwAA0ACgBOAE0AOgBYAF8AQQB4AGkAcwBfAEkAbgB0AGUAcgBsAGEAYwBlAEMAbwBsAG8AcgANAAoAVABQADoAMAANAAoAVgBBAEwAOgAxADQAOAA3ADIANQA2ADEADQAKAE4ATQA6AFgAXwBBAHgAaQBzAF8AVABpAGMAawBNAGEAcgBrAA0ACgBUAFAAOgAwAA0ACgBWAEEATAA6ADEADQAKAE4ATQA6AFgAXwBBAHgAaQBzAF8ATABhAGIAZQBsAHMAUwB0AGEAZwBnAGUAcgBlAGQADQAKAFQAUAA6ADAADQAKAFYAQQBMADoAMAANAAoATgBNADoAWABfAEEAeABpAHMAXwBMAGEAYgBlAGwAcwBBAG4AZwBsAGUADQAKAFQAUAA6ADEADQAKAFYAQQBMADoAbgBhAG4ADQAKAE4ATQA6AFgAXwBBAHgAaQBzAF8ATABhAGIAZQBsAHMAQwBvAGwAbwByAA0ACgBUAFAAOgAwAA0ACgBWAEEATAA6ADAADQAKAE4ATQA6AFgAXwBBAHgAaQBzAF8ATABhAGIAZQBsAHMARgBvAG4AdAANAAoAVABQADoAMgANAAoAVgBBAEwAOgAjAEYATwBOAFQAIwAjACMAIwA5ADIAOgA5AGYALwAvAC8AdwBBAEEAQQBBAEEAQQBBAEEAQQBBAEEAQQBBAEEAQQBKAEEAQgBBAEEAQQBBAEEAQQBBAEEAQQB3AEkAQgBJAGsARQBBAGMAZwBCAHAAQQBHAEUAQQBiAEEAQQBBAEEAQQBBAEEAQQBBAEEAQQBBAEEAQQBBAEEAQQBBAEEAQQBBAEEAQQBBAEEAQQBBAEEAQQBBAEEAQQBBAEEAQQBBAEEAQQBBAEEAQQBBAEEAQQBBAEEAQQBBAEEAQQBBAEEAQQBBAEEAQQBBAEEAQQBBAEEAQQBBAEEAQQBBAEEAQQBBAEEAQQBBAEEAQQA9AA0ACgBOAE0AOgBZAF8AQQB4AGkAcwBfAEEAdQB0AG8AcwBjAGEAbABlAA0ACgBUAFAAOgAwAA0ACgBWAEEATAA6ADEADQAKAE4ATQA6AFkAXwBBAHgAaQBzAF8ATQBpAG4ADQAKAFQAUAA6ADEADQAKAFYAQQBMADoAbgBhAG4ADQAKAE4ATQA6AFkAXwBBAHgAaQBzAF8ATQBhAHgADQAKAFQAUAA6ADEADQAKAFYAQQBMADoAbgBhAG4ADQAKAE4ATQA6AFkAXwBBAHgAaQBzAF8AUwB0AGUAcAANAAoAVABQADoAMQANAAoAVgBBAEwAOgBuAGEAbgANAAoATgBNADoAWQBfAEEAeABpAHMAXwBTAGMAYQBsAGUARgBhAGMAdABvAHIADQAKAFQAUAA6ADEADQAKAFYAQQBMADoAbgBhAG4ADQAKAE4ATQA6AFkAXwBBAHgAaQBzAF8ARgBvAHIAbQBhAHQADQAKAFQAUAA6ADAADQAKAFYAQQBMADoALQAxAA0ACgBOAE0AOgBZAF8AQQB4AGkAcwBfAEMAdQBzAHQAbwBtAEYAbwByAG0AYQB0AA0ACgBUAFAAOgAyAA0ACgBWAEEATAA6AA0ACgBOAE0AOgBZAF8AQQB4AGkAcwBfAEwAbwBnAGEAcgBpAHQAaABtAGkAYwANAAoAVABQADoAMAANAAoAVgBBAEwAOgAwAA0ACgBOAE0AOgBZAF8AQQB4AGkAcwBfAEQAZQBjAGkAbQBhAGwAcwANAAoAVABQADoAMQANAAoAVgBBAEwAOgBuAGEAbgANAAoATgBNADoAWQBfAEEAeABpAHMAXwBEAGUAYwBpAG0AYQBsAHMARABhAHQAYQANAAoAVABQADoAMQANAAoAVgBBAEwAOgBuAGEAbgANAAoATgBNADoAWQBfAEEAeABpAHMAXwBTAGgAbwB3AFQAaQB0AGwAZQANAAoAVABQADoAMAANAAoAVgBBAEwAOgAxAA0ACgBOAE0AOgBZAF8AQQB4AGkAcwBfAFQAaQB0AGwAZQBDAG8AbABvAHIADQAKAFQAUAA6ADAADQAKAFYAQQBMADoAMAANAAoATgBNADoAWQBfAEEAeABpAHMAXwBDAHUAcwB0AG8AbQBUAGkAdABsAGUADQAKAFQAUAA6ADAADQAKAFYAQQBMADoAMAANAAoATgBNADoAWQBfAEEAeABpAHMAXwBUAGkAdABsAGUADQAKAFQAUAA6ADIADQAKAFYAQQBMADoADQAKAE4ATQA6AFkAXwBBAHgAaQBzAF8AVABpAHQAbABlAEYAbwBuAHQADQAKAFQAUAA6ADIADQAKAFYAQQBMADoAIwBGAE8ATgBUACMAIwAjACMAOQAyADoAOQBmAC8ALwAvAHcAQQBBAEEAQQBBAEEAQQBBAEEAQQBBAEEAQQBBAEEATAB3AEMAQQBBAEEAQQBBAEEAQQBBAEEAdwBJAEIASQBrAEUAQQBjAGcAQgBwAEEARwBFAEEAYgBBAEEAQQBBAEEAQQBBAEEAQQBBAEEAQQBBAEEAQQBBAEEAQQBBAEEAQQBBAEEAQQBBAEEAQQBBAEEAQQBBAEEAQQBBAEEAQQBBAEEAQQBBAEEAQQBBAEEAQQBBAEEAQQBBAEEAQQBBAEEAQQBBAEEAQQBBAEEAQQBBAEEAQQBBAEEAQQBBAEEAQQBBAEEAQQBBAEEAPQANAAoATgBNADoAWQBfAEEAeABpAHMAXwBTAGgAbwB3AEcAcgBpAGQAbABpAG4AZQBzAA0ACgBUAFAAOgAwAA0ACgBWAEEATAA6ADAADQAKAE4ATQA6AFkAXwBBAHgAaQBzAF8ARwByAGkAZABsAGkAbgBlAEMAbwBsAG8AcgANAAoAVABQADoAMAANAAoAVgBBAEwAOgAxADAAMAA3ADAAMQA4ADgADQAKAE4ATQA6AFkAXwBBAHgAaQBzAF8ARwByAGkAZABsAGkAbgBlAHMAUwB0AHkAbABlAA0ACgBUAFAAOgAwAA0ACgBWAEEATAA6ADAADQAKAE4ATQA6AFkAXwBBAHgAaQBzAF8ARwByAGkAZABsAGkAbgBlAHMAVwBlAGkAZwBoAHQADQAKAFQAUAA6ADAADQAKAFYAQQBMADoAMQANAAoATgBNADoAWQBfAEEAeABpAHMAXwBJAG4AdABlAHIAbABhAGMAZQANAAoAVABQADoAMAANAAoAVgBBAEwAOgAwAA0ACgBOAE0AOgBZAF8AQQB4AGkAcwBfAEkAbgB0AGUAcgBsAGEAYwBlAEMAbwBsAG8AcgANAAoAVABQADoAMAANAAoAVgBBAEwAOgAxADQAOAA3ADIANQA2ADEADQAKAE4ATQA6AFkAXwBBAHgAaQBzAF8AVABpAGMAawBNAGEAcgBrAA0ACgBUAFAAOgAwAA0ACgBWAEEATAA6ADEADQAKAE4ATQA6AFkAXwBBAHgAaQBzAF8ATABhAGIAZQBsAHMAUwB0AGEAZwBnAGUAcgBlAGQADQAKAFQAUAA6ADAADQAKAFYAQQBMADoAMAANAAoATgBNADoAWQBfAEEAeABpAHMAXwBMAGEAYgBlAGwAcwBBAG4AZwBsAGUADQAKAFQAUAA6ADEADQAKAFYAQQBMADoAbgBhAG4ADQAKAE4ATQA6AFkAXwBBAHgAaQBzAF8ATABhAGIAZQBsAHMAQwBvAGwAbwByAA0ACgBUAFAAOgAwAA0ACgBWAEEATAA6ADAADQAKAE4ATQA6AFkAXwBBAHgAaQBzAF8ATABhAGIAZQBsAHMARgBvAG4AdAANAAoAVABQADoAMgANAAoAVgBBAEwAOgAjAEYATwBOAFQAIwAjACMAIwA5ADIAOgA5AGYALwAvAC8AdwBBAEEAQQBBAEEAQQBBAEEAQQBBAEEAQQBBAEEAQQBKAEEAQgBBAEEAQQBBAEEAQQBBAEEAQQB3AEkAQgBJAGsARQBBAGMAZwBCAHAAQQBHAEUAQQBiAEEAQQBBAEEAQQBBAEEAQQBBAEEAQQBBAEEAQQBBAEEAQQBBAEEAQQBBAEEAQQBBAEEAQQBBAEEAQQBBAEEAQQBBAEEAQQBBAEEAQQBBAEEAQQBBAEEAQQBBAEEAQQBBAEEAQQBBAEEAQQBBAEEAQQBBAEEAQQBBAEEAQQBBAEEAQQBBAEEAQQBBAEEAQQBBAEEAQQA9AA0ACgBOAE0AOgBZADIAXwBBAHgAaQBzAF8AQQB1AHQAbwBzAGMAYQBsAGUADQAKAFQAUAA6ADAADQAKAFYAQQBMADoAMQANAAoATgBNADoAWQAyAF8AQQB4AGkAcwBfAE0AaQBuAA0ACgBUAFAAOgAxAA0ACgBWAEEATAA6AG4AYQBuAA0ACgBOAE0AOgBZADIAXwBBAHgAaQBzAF8ATQBhAHgADQAKAFQAUAA6ADEADQAKAFYAQQBMADoAbgBhAG4ADQAKAE4ATQA6AFkAMgBfAEEAeABpAHMAXwBTAHQAZQBwAA0ACgBUAFAAOgAxAA0ACgBWAEEATAA6AG4AYQBuAA0ACgBOAE0AOgBZADIAXwBBAHgAaQBzAF8AUwBjAGEAbABlAEYAYQBjAHQAbwByAA0ACgBUAFAAOgAxAA0ACgBWAEEATAA6AG4AYQBuAA0ACgBOAE0AOgBZADIAXwBBAHgAaQBzAF8ARgBvAHIAbQBhAHQADQAKAFQAUAA6ADAADQAKAFYAQQBMADoALQAxAA0ACgBOAE0AOgBZADIAXwBBAHgAaQBzAF8AQwB1AHMAdABvAG0ARgBvAHIAbQBhAHQADQAKAFQAUAA6ADIADQAKAFYAQQBMADoADQAKAE4ATQA6AFkAMgBfAEEAeABpAHMAXwBMAG8AZwBhAHIAaQB0AGgAbQBpAGMADQAKAFQAUAA6ADAADQAKAFYAQQBMADoAMAANAAoATgBNADoAWQAyAF8AQQB4AGkAcwBfAEQAZQBjAGkAbQBhAGwAcwANAAoAVABQADoAMQANAAoAVgBBAEwAOgBuAGEAbgANAAoATgBNADoAWQAyAF8AQQB4AGkAcwBfAEQAZQBjAGkAbQBhAGwAcwBEAGEAdABhAA0ACgBUAFAAOgAxAA0ACgBWAEEATAA6AG4AYQBuAA0ACgBOAE0AOgBZADIAXwBBAHgAaQBzAF8AUwBoAG8AdwBUAGkAdABsAGUADQAKAFQAUAA6ADAADQAKAFYAQQBMADoAMQANAAoATgBNADoAWQAyAF8AQQB4AGkAcwBfAFQAaQB0AGwAZQBDAG8AbABvAHIADQAKAFQAUAA6ADAADQAKAFYAQQBMADoAMAANAAoATgBNADoAWQAyAF8AQQB4AGkAcwBfAEMAdQBzAHQAbwBtAFQAaQB0AGwAZQANAAoAVABQADoAMAANAAoAVgBBAEwAOgAwAA0ACgBOAE0AOgBZADIAXwBBAHgAaQBzAF8AVABpAHQAbABlAA0ACgBUAFAAOgAyAA0ACgBWAEEATAA6AA0ACgBOAE0AOgBZADIAXwBBAHgAaQBzAF8AVABpAHQAbABlAEYAbwBuAHQADQAKAFQAUAA6ADIADQAKAFYAQQBMADoAIwBGAE8ATgBUACMAIwAjACMAOQAyADoAOQBmAC8ALwAvAHcAQQBBAEEAQQBBAEEAQQBBAEEAQQBBAEEAQQBBAEEATAB3AEMAQQBBAEEAQQBBAEEAQQBBAEEAdwBJAEIASQBrAEUAQQBjAGcAQgBwAEEARwBFAEEAYgBBAEEAQQBBAEEAQQBBAEEAQQBBAEEAQQBBAEEAQQBBAEEAQQBBAEEAQQBBAEEAQQBBAEEAQQBBAEEAQQBBAEEAQQBBAEEAQQBBAEEAQQBBAEEAQQBBAEEAQQBBAEEAQQBBAEEAQQBBAEEAQQBBAEEAQQBBAEEAQQBBAEEAQQBBAEEAQQBBAEEAQQBBAEEAQQBBAEEAPQANAAoATgBNADoAWQAyAF8AQQB4AGkAcwBfAFMAaABvAHcARwByAGkAZABsAGkAbgBlAHMADQAKAFQAUAA6ADAADQAKAFYAQQBMADoAMAANAAoATgBNADoAWQAyAF8AQQB4AGkAcwBfAEcAcgBpAGQAbABpAG4AZQBDAG8AbABvAHIADQAKAFQAUAA6ADAADQAKAFYAQQBMADoAMQAwADAANwAwADEAOAA4AA0ACgBOAE0AOgBZADIAXwBBAHgAaQBzAF8ARwByAGkAZABsAGkAbgBlAHMAUwB0AHkAbABlAA0ACgBUAFAAOgAwAA0ACgBWAEEATAA6ADAADQAKAE4ATQA6AFkAMgBfAEEAeABpAHMAXwBHAHIAaQBkAGwAaQBuAGUAcwBXAGUAaQBnAGgAdAANAAoAVABQADoAMAANAAoAVgBBAEwAOgAxAA0ACgBOAE0AOgBZADIAXwBBAHgAaQBzAF8ASQBuAHQAZQByAGwAYQBjAGUADQAKAFQAUAA6ADAADQAKAFYAQQBMADoAMAANAAoATgBNADoAWQAyAF8AQQB4AGkAcwBfAEkAbgB0AGUAcgBsAGEAYwBlAEMAbwBsAG8AcgANAAoAVABQADoAMAANAAoAVgBBAEwAOgAxADQAOAA3ADIANQA2ADEADQAKAE4ATQA6AFkAMgBfAEEAeABpAHMAXwBUAGkAYwBrAE0AYQByAGsADQAKAFQAUAA6ADAADQAKAFYAQQBMADoAMQANAAoATgBNADoAWQAyAF8AQQB4AGkAcwBfAEwAYQBiAGUAbABzAFMAdABhAGcAZwBlAHIAZQBkAA0ACgBUAFAAOgAwAA0ACgBWAEEATAA6ADAADQAKAE4ATQA6AFkAMgBfAEEAeABpAHMAXwBMAGEAYgBlAGwAcwBBAG4AZwBsAGUADQAKAFQAUAA6ADEADQAKAFYAQQBMADoAbgBhAG4ADQAKAE4ATQA6AFkAMgBfAEEAeABpAHMAXwBMAGEAYgBlAGwAcwBDAG8AbABvAHIADQAKAFQAUAA6ADAADQAKAFYAQQBMADoAMAANAAoATgBNADoAWQAyAF8AQQB4AGkAcwBfAEwAYQBiAGUAbABzAEYAbwBuAHQADQAKAFQAUAA6ADIADQAKAFYAQQBMADoAIwBGAE8ATgBUACMAIwAjACMAOQAyADoAOQBmAC8ALwAvAHcAQQBBAEEAQQBBAEEAQQBBAEEAQQBBAEEAQQBBAEEASgBBAEIAQQBBAEEAQQBBAEEAQQBBAEEAdwBJAEIASQBrAEUAQQBjAGcAQgBwAEEARwBFAEEAYgBBAEEAQQBBAEEAQQBBAEEAQQBBAEEAQQBBAEEAQQBBAEEAQQBBAEEAQQBBAEEAQQBBAEEAQQBBAEEAQQBBAEEAQQBBAEEAQQBBAEEAQQBBAEEAQQBBAEEAQQBBAEEAQQBBAEEAQQBBAEEAQQBBAEEAQQBBAEEAQQBBAEEAQQBBAEEAQQBBAEEAQQBBAEEAQQBBAEEAPQANAAoATgBNADoASABTAFMAbABpAGQAZQByAF8AVAB5AHAAZQAxAA0ACgBUAFAAOgAwAA0ACgBWAEEATAA6ADEADQAKAE4ATQA6AEgAUwBTAGwAaQBkAGUAcgBfAFQAeQBwAGUAMgANAAoAVABQADoAMAANAAoAVgBBAEwAOgAxAA0ACgBOAE0AOgBIAFMAUwBsAGkAZABlAHIAXwBQADEADQAKAFQAUAA6ADEADQAKAFYAQQBMADoAMAAuAD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</si>
</sst>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USD]\ #,##0;[Red]\-[$USD]\ #,##0"/>
  </numFmts>
  <fonts count="11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.5"/>
      <color rgb="FFEFEADD"/>
      <name val="Calibri"/>
    </font>
    <font>
      <b/>
      <sz val="9"/>
      <color rgb="FFEFEADD"/>
      <name val="Calibri"/>
    </font>
    <font>
      <sz val="9"/>
      <color rgb="FFEFEADD"/>
      <name val="Calibri"/>
    </font>
    <font>
      <vertAlign val="superscript"/>
      <sz val="9"/>
      <color rgb="FFEFEADD"/>
      <name val="Calibri"/>
    </font>
    <font>
      <b/>
      <sz val="10"/>
      <color rgb="FFEFEADD"/>
      <name val="Calibri"/>
    </font>
    <font>
      <b/>
      <sz val="10"/>
      <color rgb="FFFFFFFF"/>
      <name val="Calibri"/>
    </font>
    <font>
      <sz val="9"/>
      <color rgb="FFEFEADD"/>
      <name val="Calibri"/>
      <family val="2"/>
    </font>
    <font>
      <b/>
      <sz val="10.5"/>
      <color rgb="FFEFEADD"/>
      <name val="Calibri"/>
      <family val="2"/>
    </font>
    <font>
      <b/>
      <sz val="10"/>
      <color rgb="FFEFEADD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30241C"/>
        <bgColor indexed="64"/>
      </patternFill>
    </fill>
    <fill>
      <patternFill patternType="solid">
        <fgColor rgb="FFB39759"/>
        <bgColor indexed="64"/>
      </patternFill>
    </fill>
    <fill>
      <patternFill patternType="solid">
        <fgColor rgb="FF8A1537"/>
        <bgColor indexed="64"/>
      </patternFill>
    </fill>
    <fill>
      <patternFill patternType="solid">
        <fgColor rgb="FF00345F"/>
        <bgColor indexed="64"/>
      </patternFill>
    </fill>
    <fill>
      <patternFill patternType="solid">
        <fgColor rgb="FF00457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5957"/>
        <bgColor indexed="64"/>
      </patternFill>
    </fill>
    <fill>
      <patternFill patternType="solid">
        <fgColor rgb="FF008583"/>
        <bgColor indexed="64"/>
      </patternFill>
    </fill>
    <fill>
      <patternFill patternType="solid">
        <fgColor rgb="FF00B1AF"/>
        <bgColor indexed="64"/>
      </patternFill>
    </fill>
    <fill>
      <patternFill patternType="solid">
        <fgColor rgb="FF4B392C"/>
        <bgColor indexed="64"/>
      </patternFill>
    </fill>
  </fills>
  <borders count="10">
    <border>
      <left/>
      <right/>
      <top/>
      <bottom/>
      <diagonal/>
    </border>
    <border>
      <left style="medium">
        <color rgb="FF30241C"/>
      </left>
      <right style="medium">
        <color rgb="FF30241C"/>
      </right>
      <top style="medium">
        <color rgb="FF30241C"/>
      </top>
      <bottom style="medium">
        <color rgb="FF30241C"/>
      </bottom>
      <diagonal/>
    </border>
    <border>
      <left style="medium">
        <color rgb="FF30241C"/>
      </left>
      <right style="medium">
        <color rgb="FF30241C"/>
      </right>
      <top style="medium">
        <color rgb="FF30241C"/>
      </top>
      <bottom/>
      <diagonal/>
    </border>
    <border>
      <left style="medium">
        <color indexed="64"/>
      </left>
      <right style="medium">
        <color rgb="FF30241C"/>
      </right>
      <top style="medium">
        <color indexed="64"/>
      </top>
      <bottom style="medium">
        <color indexed="64"/>
      </bottom>
      <diagonal/>
    </border>
    <border>
      <left style="medium">
        <color rgb="FF30241C"/>
      </left>
      <right style="medium">
        <color rgb="FF30241C"/>
      </right>
      <top style="medium">
        <color indexed="64"/>
      </top>
      <bottom style="medium">
        <color indexed="64"/>
      </bottom>
      <diagonal/>
    </border>
    <border>
      <left style="medium">
        <color rgb="FF30241C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30241C"/>
      </left>
      <right/>
      <top style="medium">
        <color rgb="FF30241C"/>
      </top>
      <bottom style="medium">
        <color rgb="FF30241C"/>
      </bottom>
      <diagonal/>
    </border>
    <border>
      <left style="medium">
        <color rgb="FF30241C"/>
      </left>
      <right style="medium">
        <color rgb="FF30241C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left" vertical="center" wrapText="1" readingOrder="1"/>
    </xf>
    <xf numFmtId="0" fontId="3" fillId="4" borderId="1" xfId="0" applyFont="1" applyFill="1" applyBorder="1" applyAlignment="1">
      <alignment horizontal="left" vertical="center" wrapText="1" readingOrder="1"/>
    </xf>
    <xf numFmtId="0" fontId="4" fillId="4" borderId="1" xfId="0" applyFont="1" applyFill="1" applyBorder="1" applyAlignment="1">
      <alignment horizontal="left" vertical="center" wrapText="1" readingOrder="1"/>
    </xf>
    <xf numFmtId="0" fontId="3" fillId="5" borderId="1" xfId="0" applyFont="1" applyFill="1" applyBorder="1" applyAlignment="1">
      <alignment horizontal="left" vertical="center" wrapText="1" readingOrder="1"/>
    </xf>
    <xf numFmtId="0" fontId="4" fillId="6" borderId="1" xfId="0" applyFont="1" applyFill="1" applyBorder="1" applyAlignment="1">
      <alignment horizontal="left" vertical="center" wrapText="1" readingOrder="1"/>
    </xf>
    <xf numFmtId="0" fontId="4" fillId="7" borderId="1" xfId="0" applyFont="1" applyFill="1" applyBorder="1" applyAlignment="1">
      <alignment horizontal="left" vertical="center" wrapText="1" readingOrder="1"/>
    </xf>
    <xf numFmtId="0" fontId="4" fillId="8" borderId="1" xfId="0" applyFont="1" applyFill="1" applyBorder="1" applyAlignment="1">
      <alignment horizontal="left" vertical="center" wrapText="1" readingOrder="1"/>
    </xf>
    <xf numFmtId="0" fontId="4" fillId="9" borderId="1" xfId="0" applyFont="1" applyFill="1" applyBorder="1" applyAlignment="1">
      <alignment horizontal="left" vertical="center" wrapText="1" readingOrder="1"/>
    </xf>
    <xf numFmtId="0" fontId="4" fillId="10" borderId="1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left" wrapText="1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6" fillId="11" borderId="2" xfId="0" applyFont="1" applyFill="1" applyBorder="1" applyAlignment="1">
      <alignment horizontal="left" vertical="center" wrapText="1" readingOrder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center" wrapText="1" readingOrder="1"/>
    </xf>
    <xf numFmtId="0" fontId="8" fillId="7" borderId="1" xfId="0" applyFont="1" applyFill="1" applyBorder="1" applyAlignment="1">
      <alignment horizontal="left" vertical="center" wrapText="1" readingOrder="1"/>
    </xf>
    <xf numFmtId="0" fontId="8" fillId="10" borderId="1" xfId="0" applyFont="1" applyFill="1" applyBorder="1" applyAlignment="1">
      <alignment horizontal="left" vertical="center" wrapText="1" readingOrder="1"/>
    </xf>
    <xf numFmtId="3" fontId="8" fillId="10" borderId="1" xfId="0" applyNumberFormat="1" applyFont="1" applyFill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3" fontId="1" fillId="0" borderId="2" xfId="0" applyNumberFormat="1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left" vertical="top" wrapText="1"/>
    </xf>
    <xf numFmtId="3" fontId="4" fillId="6" borderId="1" xfId="0" applyNumberFormat="1" applyFont="1" applyFill="1" applyBorder="1" applyAlignment="1">
      <alignment horizontal="left" vertical="center" wrapText="1" readingOrder="1"/>
    </xf>
    <xf numFmtId="3" fontId="8" fillId="6" borderId="1" xfId="0" applyNumberFormat="1" applyFont="1" applyFill="1" applyBorder="1" applyAlignment="1">
      <alignment horizontal="left" vertical="center" wrapText="1" readingOrder="1"/>
    </xf>
    <xf numFmtId="3" fontId="4" fillId="9" borderId="1" xfId="0" applyNumberFormat="1" applyFont="1" applyFill="1" applyBorder="1" applyAlignment="1">
      <alignment horizontal="left" vertical="center" wrapText="1" readingOrder="1"/>
    </xf>
    <xf numFmtId="3" fontId="4" fillId="11" borderId="2" xfId="0" applyNumberFormat="1" applyFont="1" applyFill="1" applyBorder="1" applyAlignment="1">
      <alignment horizontal="left" vertical="center" wrapText="1" readingOrder="1"/>
    </xf>
    <xf numFmtId="3" fontId="7" fillId="2" borderId="6" xfId="0" applyNumberFormat="1" applyFont="1" applyFill="1" applyBorder="1" applyAlignment="1">
      <alignment horizontal="left" vertical="center" wrapText="1" readingOrder="1"/>
    </xf>
    <xf numFmtId="3" fontId="7" fillId="2" borderId="7" xfId="0" applyNumberFormat="1" applyFont="1" applyFill="1" applyBorder="1" applyAlignment="1">
      <alignment horizontal="left" vertical="center" wrapText="1" readingOrder="1"/>
    </xf>
    <xf numFmtId="0" fontId="4" fillId="7" borderId="8" xfId="0" applyFont="1" applyFill="1" applyBorder="1" applyAlignment="1">
      <alignment horizontal="left" vertical="center" wrapText="1" readingOrder="1"/>
    </xf>
    <xf numFmtId="0" fontId="8" fillId="7" borderId="8" xfId="0" applyFont="1" applyFill="1" applyBorder="1" applyAlignment="1">
      <alignment horizontal="left" vertical="center" wrapText="1" readingOrder="1"/>
    </xf>
    <xf numFmtId="3" fontId="4" fillId="6" borderId="2" xfId="0" applyNumberFormat="1" applyFont="1" applyFill="1" applyBorder="1" applyAlignment="1">
      <alignment horizontal="left" vertical="center" wrapText="1" readingOrder="1"/>
    </xf>
    <xf numFmtId="3" fontId="8" fillId="6" borderId="2" xfId="0" applyNumberFormat="1" applyFont="1" applyFill="1" applyBorder="1" applyAlignment="1">
      <alignment horizontal="left" vertical="center" wrapText="1" readingOrder="1"/>
    </xf>
    <xf numFmtId="3" fontId="1" fillId="0" borderId="9" xfId="0" applyNumberFormat="1" applyFont="1" applyBorder="1" applyAlignment="1">
      <alignment horizontal="left" vertical="top" wrapText="1"/>
    </xf>
    <xf numFmtId="0" fontId="3" fillId="3" borderId="2" xfId="0" applyFont="1" applyFill="1" applyBorder="1" applyAlignment="1">
      <alignment vertical="center" wrapText="1" readingOrder="1"/>
    </xf>
    <xf numFmtId="3" fontId="8" fillId="0" borderId="1" xfId="0" applyNumberFormat="1" applyFont="1" applyBorder="1" applyAlignment="1">
      <alignment horizontal="left" vertical="center" wrapText="1" readingOrder="1"/>
    </xf>
    <xf numFmtId="164" fontId="4" fillId="7" borderId="1" xfId="0" applyNumberFormat="1" applyFont="1" applyFill="1" applyBorder="1" applyAlignment="1">
      <alignment horizontal="left" vertical="center" wrapText="1" readingOrder="1"/>
    </xf>
    <xf numFmtId="164" fontId="4" fillId="10" borderId="1" xfId="0" applyNumberFormat="1" applyFont="1" applyFill="1" applyBorder="1" applyAlignment="1">
      <alignment horizontal="left" vertical="center" wrapText="1" readingOrder="1"/>
    </xf>
    <xf numFmtId="38" fontId="4" fillId="7" borderId="1" xfId="0" applyNumberFormat="1" applyFont="1" applyFill="1" applyBorder="1" applyAlignment="1">
      <alignment horizontal="left" vertical="center" wrapText="1" readingOrder="1"/>
    </xf>
    <xf numFmtId="0" fontId="10" fillId="2" borderId="3" xfId="0" applyFont="1" applyFill="1" applyBorder="1" applyAlignment="1">
      <alignment horizontal="left" vertical="center" wrapText="1" readingOrder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B1AF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B619A-045F-4B47-BEFE-56DC74705C09}">
  <sheetPr codeName="Sheet1"/>
  <dimension ref="A1:L26"/>
  <sheetViews>
    <sheetView zoomScale="60" zoomScaleNormal="60" workbookViewId="0">
      <selection activeCell="H25" sqref="H25"/>
    </sheetView>
  </sheetViews>
  <sheetFormatPr defaultColWidth="8.7265625" defaultRowHeight="14.5" x14ac:dyDescent="0.35"/>
  <cols>
    <col min="1" max="1" width="49.54296875" style="10" customWidth="1"/>
    <col min="2" max="2" width="10.1796875" style="10" customWidth="1"/>
    <col min="3" max="3" width="10.81640625" style="10" customWidth="1"/>
    <col min="4" max="4" width="11.54296875" style="10" customWidth="1"/>
    <col min="5" max="5" width="10.81640625" style="10" customWidth="1"/>
    <col min="6" max="6" width="14.7265625" style="10" customWidth="1"/>
    <col min="7" max="7" width="19.54296875" style="10" customWidth="1"/>
    <col min="8" max="8" width="30.81640625" style="10" customWidth="1"/>
    <col min="9" max="9" width="25.7265625" style="10" customWidth="1"/>
    <col min="10" max="10" width="26.26953125" style="10" customWidth="1"/>
    <col min="11" max="11" width="26.54296875" style="10" customWidth="1"/>
    <col min="12" max="12" width="35.1796875" style="10" customWidth="1"/>
    <col min="13" max="13" width="8.7265625" style="10" customWidth="1"/>
    <col min="14" max="24" width="8.7265625" style="10"/>
    <col min="25" max="25" width="11.81640625" style="10" bestFit="1" customWidth="1"/>
    <col min="26" max="29" width="8.7265625" style="10" customWidth="1"/>
    <col min="30" max="16384" width="8.7265625" style="10"/>
  </cols>
  <sheetData>
    <row r="1" spans="1:12" ht="15" thickBot="1" x14ac:dyDescent="0.4">
      <c r="A1" s="1" t="s">
        <v>0</v>
      </c>
      <c r="B1" s="1">
        <v>2022</v>
      </c>
      <c r="C1" s="1">
        <v>2023</v>
      </c>
      <c r="D1" s="1">
        <v>2024</v>
      </c>
      <c r="E1" s="1" t="s">
        <v>1</v>
      </c>
      <c r="F1" s="1" t="s">
        <v>2</v>
      </c>
      <c r="G1" s="16" t="s">
        <v>29</v>
      </c>
      <c r="H1" s="1" t="s">
        <v>3</v>
      </c>
      <c r="I1" s="16" t="s">
        <v>39</v>
      </c>
      <c r="J1" s="16" t="s">
        <v>40</v>
      </c>
      <c r="K1" s="16" t="s">
        <v>41</v>
      </c>
      <c r="L1" s="16" t="s">
        <v>42</v>
      </c>
    </row>
    <row r="2" spans="1:12" ht="24" customHeight="1" thickBot="1" x14ac:dyDescent="0.4">
      <c r="A2" s="34" t="s">
        <v>4</v>
      </c>
      <c r="B2" s="20">
        <v>8</v>
      </c>
      <c r="C2" s="20">
        <v>12</v>
      </c>
      <c r="D2" s="20">
        <v>10</v>
      </c>
      <c r="E2" s="20">
        <v>10</v>
      </c>
      <c r="F2" s="11"/>
      <c r="G2" s="11"/>
      <c r="H2" s="11"/>
      <c r="I2" s="21"/>
      <c r="J2" s="21"/>
      <c r="K2" s="21"/>
      <c r="L2" s="21"/>
    </row>
    <row r="3" spans="1:12" ht="23" thickBot="1" x14ac:dyDescent="0.4">
      <c r="A3" s="2" t="s">
        <v>5</v>
      </c>
      <c r="B3" s="12"/>
      <c r="C3" s="12"/>
      <c r="D3" s="12"/>
      <c r="E3" s="3">
        <v>0.32500000000000001</v>
      </c>
      <c r="F3" s="12"/>
      <c r="G3" s="12"/>
      <c r="H3" s="12"/>
      <c r="I3" s="22"/>
      <c r="J3" s="22"/>
      <c r="K3" s="22"/>
      <c r="L3" s="22"/>
    </row>
    <row r="4" spans="1:12" ht="23" thickBot="1" x14ac:dyDescent="0.4">
      <c r="A4" s="4" t="s">
        <v>6</v>
      </c>
      <c r="B4" s="12"/>
      <c r="C4" s="12"/>
      <c r="D4" s="12"/>
      <c r="E4" s="12"/>
      <c r="F4" s="12"/>
      <c r="G4" s="12"/>
      <c r="H4" s="12"/>
      <c r="I4" s="22"/>
      <c r="J4" s="22"/>
      <c r="K4" s="22"/>
      <c r="L4" s="22"/>
    </row>
    <row r="5" spans="1:12" ht="23" thickBot="1" x14ac:dyDescent="0.4">
      <c r="A5" s="5" t="s">
        <v>7</v>
      </c>
      <c r="B5" s="12"/>
      <c r="C5" s="12"/>
      <c r="D5" s="12"/>
      <c r="E5" s="12"/>
      <c r="F5" s="12"/>
      <c r="G5" s="12"/>
      <c r="H5" s="12"/>
      <c r="I5" s="31">
        <v>50</v>
      </c>
      <c r="J5" s="32">
        <v>18000</v>
      </c>
      <c r="K5" s="32">
        <v>960000</v>
      </c>
      <c r="L5" s="32">
        <f ca="1">_xll.VoseInput(A5,"USD")+_xll.VosePERT(I5,J5,K5)</f>
        <v>88318.316889296475</v>
      </c>
    </row>
    <row r="6" spans="1:12" ht="23" thickBot="1" x14ac:dyDescent="0.4">
      <c r="A6" s="6" t="s">
        <v>8</v>
      </c>
      <c r="B6" s="12"/>
      <c r="C6" s="12"/>
      <c r="D6" s="12"/>
      <c r="E6" s="12"/>
      <c r="F6" s="6" t="s">
        <v>9</v>
      </c>
      <c r="G6" s="17" t="s">
        <v>32</v>
      </c>
      <c r="H6" s="29" t="s">
        <v>33</v>
      </c>
      <c r="I6" s="22"/>
      <c r="J6" s="22"/>
      <c r="K6" s="22"/>
      <c r="L6" s="22"/>
    </row>
    <row r="7" spans="1:12" ht="23" thickBot="1" x14ac:dyDescent="0.4">
      <c r="A7" s="6" t="s">
        <v>10</v>
      </c>
      <c r="B7" s="12"/>
      <c r="C7" s="12"/>
      <c r="D7" s="12"/>
      <c r="E7" s="12"/>
      <c r="F7" s="6" t="s">
        <v>11</v>
      </c>
      <c r="G7" s="17" t="s">
        <v>34</v>
      </c>
      <c r="H7" s="30" t="s">
        <v>35</v>
      </c>
      <c r="I7" s="22"/>
      <c r="J7" s="22"/>
      <c r="K7" s="22"/>
      <c r="L7" s="22"/>
    </row>
    <row r="8" spans="1:12" ht="23" thickBot="1" x14ac:dyDescent="0.4">
      <c r="A8" s="6" t="s">
        <v>12</v>
      </c>
      <c r="B8" s="12"/>
      <c r="C8" s="12"/>
      <c r="D8" s="12"/>
      <c r="E8" s="12"/>
      <c r="F8" s="36">
        <v>50</v>
      </c>
      <c r="G8" s="36">
        <v>300</v>
      </c>
      <c r="H8" s="36">
        <v>600</v>
      </c>
      <c r="I8" s="33"/>
      <c r="J8" s="33"/>
      <c r="K8" s="33"/>
      <c r="L8" s="22"/>
    </row>
    <row r="9" spans="1:12" ht="23" thickBot="1" x14ac:dyDescent="0.4">
      <c r="A9" s="5" t="s">
        <v>13</v>
      </c>
      <c r="B9" s="12"/>
      <c r="C9" s="12"/>
      <c r="D9" s="12"/>
      <c r="E9" s="12"/>
      <c r="F9" s="12"/>
      <c r="G9" s="12"/>
      <c r="H9" s="12"/>
      <c r="I9" s="23">
        <v>100</v>
      </c>
      <c r="J9" s="23">
        <v>2400</v>
      </c>
      <c r="K9" s="24">
        <v>19200</v>
      </c>
      <c r="L9" s="32">
        <f ca="1">_xll.VoseInput(A9,"USD")+_xll.VosePERT(I9,J9,K9)</f>
        <v>8092.5123669441182</v>
      </c>
    </row>
    <row r="10" spans="1:12" ht="23" thickBot="1" x14ac:dyDescent="0.4">
      <c r="A10" s="6" t="s">
        <v>14</v>
      </c>
      <c r="B10" s="12"/>
      <c r="C10" s="12"/>
      <c r="D10" s="12"/>
      <c r="E10" s="12"/>
      <c r="F10" s="6" t="s">
        <v>9</v>
      </c>
      <c r="G10" s="17" t="s">
        <v>32</v>
      </c>
      <c r="H10" s="29" t="s">
        <v>33</v>
      </c>
      <c r="I10" s="22"/>
      <c r="J10" s="22"/>
      <c r="K10" s="22"/>
      <c r="L10" s="22"/>
    </row>
    <row r="11" spans="1:12" ht="23" thickBot="1" x14ac:dyDescent="0.4">
      <c r="A11" s="6" t="s">
        <v>15</v>
      </c>
      <c r="B11" s="12"/>
      <c r="C11" s="12"/>
      <c r="D11" s="12"/>
      <c r="E11" s="12"/>
      <c r="F11" s="36">
        <v>50</v>
      </c>
      <c r="G11" s="36">
        <v>300</v>
      </c>
      <c r="H11" s="36">
        <v>600</v>
      </c>
      <c r="I11" s="22"/>
      <c r="J11" s="22"/>
      <c r="K11" s="22"/>
      <c r="L11" s="22"/>
    </row>
    <row r="12" spans="1:12" ht="23" thickBot="1" x14ac:dyDescent="0.4">
      <c r="A12" s="6" t="s">
        <v>16</v>
      </c>
      <c r="B12" s="12"/>
      <c r="C12" s="12"/>
      <c r="D12" s="12"/>
      <c r="E12" s="12"/>
      <c r="F12" s="6" t="s">
        <v>9</v>
      </c>
      <c r="G12" s="17" t="s">
        <v>32</v>
      </c>
      <c r="H12" s="29" t="s">
        <v>33</v>
      </c>
      <c r="I12" s="22"/>
      <c r="J12" s="22"/>
      <c r="K12" s="22"/>
      <c r="L12" s="22"/>
    </row>
    <row r="13" spans="1:12" ht="23" thickBot="1" x14ac:dyDescent="0.4">
      <c r="A13" s="6" t="s">
        <v>17</v>
      </c>
      <c r="B13" s="12"/>
      <c r="C13" s="12"/>
      <c r="D13" s="12"/>
      <c r="E13" s="12"/>
      <c r="F13" s="36">
        <v>50</v>
      </c>
      <c r="G13" s="36">
        <v>300</v>
      </c>
      <c r="H13" s="36">
        <v>600</v>
      </c>
      <c r="I13" s="22"/>
      <c r="J13" s="22"/>
      <c r="K13" s="22"/>
      <c r="L13" s="22"/>
    </row>
    <row r="14" spans="1:12" ht="23" thickBot="1" x14ac:dyDescent="0.4">
      <c r="A14" s="5" t="s">
        <v>18</v>
      </c>
      <c r="B14" s="12"/>
      <c r="C14" s="12"/>
      <c r="D14" s="12"/>
      <c r="E14" s="12"/>
      <c r="F14" s="12"/>
      <c r="G14" s="12"/>
      <c r="H14" s="12"/>
      <c r="I14" s="38">
        <v>7340</v>
      </c>
      <c r="J14" s="38">
        <v>20000</v>
      </c>
      <c r="K14" s="38">
        <v>36700</v>
      </c>
      <c r="L14" s="32">
        <f ca="1">_xll.VoseInput(A14,"USD")+_xll.VosePERT(I14,J14,K14)</f>
        <v>20292.420064358128</v>
      </c>
    </row>
    <row r="15" spans="1:12" ht="23" thickBot="1" x14ac:dyDescent="0.4">
      <c r="A15" s="6" t="s">
        <v>19</v>
      </c>
      <c r="B15" s="12"/>
      <c r="C15" s="12"/>
      <c r="D15" s="12"/>
      <c r="E15" s="12"/>
      <c r="F15" s="36">
        <v>7340</v>
      </c>
      <c r="G15" s="36">
        <v>20000</v>
      </c>
      <c r="H15" s="36">
        <v>36700</v>
      </c>
      <c r="I15" s="22"/>
      <c r="J15" s="22"/>
      <c r="K15" s="22"/>
      <c r="L15" s="22"/>
    </row>
    <row r="16" spans="1:12" ht="23" thickBot="1" x14ac:dyDescent="0.4">
      <c r="A16" s="7" t="s">
        <v>20</v>
      </c>
      <c r="B16" s="12"/>
      <c r="C16" s="12"/>
      <c r="D16" s="12"/>
      <c r="E16" s="12"/>
      <c r="F16" s="12"/>
      <c r="G16" s="12"/>
      <c r="H16" s="12"/>
      <c r="I16" s="22"/>
      <c r="J16" s="22"/>
      <c r="K16" s="22"/>
      <c r="L16" s="22"/>
    </row>
    <row r="17" spans="1:12" ht="23" thickBot="1" x14ac:dyDescent="0.4">
      <c r="A17" s="8" t="s">
        <v>21</v>
      </c>
      <c r="B17" s="12"/>
      <c r="C17" s="12"/>
      <c r="D17" s="12"/>
      <c r="E17" s="12"/>
      <c r="F17" s="12"/>
      <c r="G17" s="12"/>
      <c r="H17" s="12"/>
      <c r="I17" s="25">
        <v>10000</v>
      </c>
      <c r="J17" s="25">
        <v>50000</v>
      </c>
      <c r="K17" s="25">
        <v>100000</v>
      </c>
      <c r="L17" s="32">
        <f ca="1">_xll.VoseInput(A17,"USD")+_xll.VosePERT(I17,J17,K17)</f>
        <v>37809.710313730298</v>
      </c>
    </row>
    <row r="18" spans="1:12" ht="23" thickBot="1" x14ac:dyDescent="0.4">
      <c r="A18" s="9" t="s">
        <v>22</v>
      </c>
      <c r="B18" s="12"/>
      <c r="C18" s="12"/>
      <c r="D18" s="12"/>
      <c r="E18" s="12"/>
      <c r="F18" s="18" t="s">
        <v>36</v>
      </c>
      <c r="G18" s="19" t="s">
        <v>37</v>
      </c>
      <c r="H18" s="9" t="s">
        <v>38</v>
      </c>
      <c r="I18" s="22"/>
      <c r="J18" s="22"/>
      <c r="K18" s="22"/>
      <c r="L18" s="22"/>
    </row>
    <row r="19" spans="1:12" ht="23" thickBot="1" x14ac:dyDescent="0.4">
      <c r="A19" s="9" t="s">
        <v>23</v>
      </c>
      <c r="B19" s="12"/>
      <c r="C19" s="12"/>
      <c r="D19" s="12"/>
      <c r="E19" s="12"/>
      <c r="F19" s="37">
        <v>100</v>
      </c>
      <c r="G19" s="37">
        <v>100</v>
      </c>
      <c r="H19" s="37">
        <v>100</v>
      </c>
      <c r="I19" s="22"/>
      <c r="J19" s="22"/>
      <c r="K19" s="22"/>
      <c r="L19" s="22"/>
    </row>
    <row r="20" spans="1:12" ht="23" thickBot="1" x14ac:dyDescent="0.4">
      <c r="A20" s="8" t="s">
        <v>24</v>
      </c>
      <c r="B20" s="12"/>
      <c r="C20" s="12"/>
      <c r="D20" s="12"/>
      <c r="E20" s="12"/>
      <c r="F20" s="12"/>
      <c r="G20" s="12"/>
      <c r="H20" s="12"/>
      <c r="I20" s="25">
        <v>91750</v>
      </c>
      <c r="J20" s="25">
        <v>367500</v>
      </c>
      <c r="K20" s="25">
        <v>734000</v>
      </c>
      <c r="L20" s="32">
        <f ca="1">_xll.VoseInput(A20,"USD")+_xll.VosePERT(I20,J20,K20)</f>
        <v>389618.17676123034</v>
      </c>
    </row>
    <row r="21" spans="1:12" ht="23" thickBot="1" x14ac:dyDescent="0.4">
      <c r="A21" s="9" t="s">
        <v>25</v>
      </c>
      <c r="B21" s="12"/>
      <c r="C21" s="12"/>
      <c r="D21" s="12"/>
      <c r="E21" s="12"/>
      <c r="F21" s="37">
        <v>91750</v>
      </c>
      <c r="G21" s="37">
        <v>367500</v>
      </c>
      <c r="H21" s="37">
        <v>734000</v>
      </c>
      <c r="I21" s="22"/>
      <c r="J21" s="22"/>
      <c r="K21" s="22"/>
      <c r="L21" s="22"/>
    </row>
    <row r="22" spans="1:12" ht="23" thickBot="1" x14ac:dyDescent="0.4">
      <c r="A22" s="8" t="s">
        <v>26</v>
      </c>
      <c r="B22" s="12"/>
      <c r="C22" s="12"/>
      <c r="D22" s="12"/>
      <c r="E22" s="12"/>
      <c r="F22" s="12"/>
      <c r="G22" s="12"/>
      <c r="H22" s="12"/>
      <c r="I22" s="25">
        <v>3670</v>
      </c>
      <c r="J22" s="25">
        <v>36700</v>
      </c>
      <c r="K22" s="25">
        <v>367000</v>
      </c>
      <c r="L22" s="32">
        <f ca="1">_xll.VoseInput(A22,"USD")+_xll.VosePERT(I22,J22,K22)</f>
        <v>229615.70255489886</v>
      </c>
    </row>
    <row r="23" spans="1:12" ht="23" thickBot="1" x14ac:dyDescent="0.4">
      <c r="A23" s="9" t="s">
        <v>27</v>
      </c>
      <c r="B23" s="12"/>
      <c r="C23" s="12"/>
      <c r="D23" s="12"/>
      <c r="E23" s="12"/>
      <c r="F23" s="37">
        <v>3670</v>
      </c>
      <c r="G23" s="37">
        <v>36700</v>
      </c>
      <c r="H23" s="37">
        <v>367000</v>
      </c>
      <c r="I23" s="22"/>
      <c r="J23" s="22"/>
      <c r="K23" s="22"/>
      <c r="L23" s="35"/>
    </row>
    <row r="24" spans="1:12" ht="23" thickBot="1" x14ac:dyDescent="0.4">
      <c r="A24" s="13" t="s">
        <v>28</v>
      </c>
      <c r="B24" s="11"/>
      <c r="C24" s="11"/>
      <c r="D24" s="11"/>
      <c r="E24" s="11"/>
      <c r="F24" s="11"/>
      <c r="G24" s="11"/>
      <c r="H24" s="11"/>
      <c r="I24" s="26">
        <f>SUM(I5,I9,I14,I17,I20,I22)</f>
        <v>112910</v>
      </c>
      <c r="J24" s="26">
        <f>SUM(J5,J9,J14,J17,J20,J22)</f>
        <v>494600</v>
      </c>
      <c r="K24" s="26">
        <f>SUM(K5,K9,K14,K17,K20,K22)</f>
        <v>2216900</v>
      </c>
      <c r="L24" s="26">
        <f ca="1">SUM(L5,L9,L14,L17,L20,L22)</f>
        <v>773746.83895045822</v>
      </c>
    </row>
    <row r="25" spans="1:12" ht="39.5" thickBot="1" x14ac:dyDescent="0.4">
      <c r="A25" s="39" t="s">
        <v>43</v>
      </c>
      <c r="B25" s="14"/>
      <c r="C25" s="14"/>
      <c r="D25" s="14"/>
      <c r="E25" s="14"/>
      <c r="F25" s="14"/>
      <c r="G25" s="15"/>
      <c r="H25" s="15"/>
      <c r="I25" s="27">
        <f>E2*E3*SUM(I2:I23)</f>
        <v>366957.5</v>
      </c>
      <c r="J25" s="28">
        <f>E2*E3*SUM(J2:J23)</f>
        <v>1607450</v>
      </c>
      <c r="K25" s="28">
        <f>E2*E3*SUM(K2:K23)</f>
        <v>7204925</v>
      </c>
      <c r="L25" s="28">
        <f ca="1">_xll.VoseOutput("Annualized Loss Expectancy")+E2*E3*SUM(L2:L23)</f>
        <v>2514677.2265889891</v>
      </c>
    </row>
    <row r="26" spans="1:12" x14ac:dyDescent="0.35">
      <c r="A26" s="10">
        <f>_xll.VoseOutput("Annualized Loss Expectancy")</f>
        <v>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FDD05FE6-AB7E-452B-9E25-149D352339B1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ModelRiskCharts!B313:B322</xm:f>
              <xm:sqref>A26</xm:sqref>
            </x14:sparkline>
          </x14:sparklines>
        </x14:sparklineGroup>
        <x14:sparklineGroup type="column" displayEmptyCellsAs="gap" xr2:uid="{EAEF9D03-6F89-4BD0-9F85-B43C5AE84C84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ModelRiskCharts!B303:B312</xm:f>
              <xm:sqref>L25</xm:sqref>
            </x14:sparkline>
          </x14:sparklines>
        </x14:sparklineGroup>
        <x14:sparklineGroup type="column" displayEmptyCellsAs="gap" xr2:uid="{D7CF4544-E2BF-4A66-BB6B-4E94B6103A6C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ModelRiskCharts!B293:B302</xm:f>
              <xm:sqref>L22</xm:sqref>
            </x14:sparkline>
          </x14:sparklines>
        </x14:sparklineGroup>
        <x14:sparklineGroup type="column" displayEmptyCellsAs="gap" xr2:uid="{BE6A3B85-433D-49EA-AFEF-35F27B0FAC54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ModelRiskCharts!B283:B292</xm:f>
              <xm:sqref>L20</xm:sqref>
            </x14:sparkline>
          </x14:sparklines>
        </x14:sparklineGroup>
        <x14:sparklineGroup type="column" displayEmptyCellsAs="gap" xr2:uid="{EC257853-F4D7-43DE-A6BF-EF9232E1809F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ModelRiskCharts!B273:B282</xm:f>
              <xm:sqref>L17</xm:sqref>
            </x14:sparkline>
          </x14:sparklines>
        </x14:sparklineGroup>
        <x14:sparklineGroup type="column" displayEmptyCellsAs="gap" xr2:uid="{C12A70EE-76F3-4D0C-A6D0-B0893C93AD12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ModelRiskCharts!B263:B272</xm:f>
              <xm:sqref>L14</xm:sqref>
            </x14:sparkline>
          </x14:sparklines>
        </x14:sparklineGroup>
        <x14:sparklineGroup type="column" displayEmptyCellsAs="gap" xr2:uid="{115B661B-4DA0-433C-8F1C-98E607AEFDDB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ModelRiskCharts!B253:B262</xm:f>
              <xm:sqref>L9</xm:sqref>
            </x14:sparkline>
          </x14:sparklines>
        </x14:sparklineGroup>
        <x14:sparklineGroup type="column" displayEmptyCellsAs="gap" xr2:uid="{FF3772E6-15E2-46C6-B7DB-B73966B82FE8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ModelRiskCharts!B243:B252</xm:f>
              <xm:sqref>L5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99191-6C80-4174-89B3-FCEC8828D5B8}">
  <sheetPr codeName="Sheet5"/>
  <dimension ref="A1:L14"/>
  <sheetViews>
    <sheetView zoomScale="60" zoomScaleNormal="60" workbookViewId="0">
      <selection activeCell="D22" sqref="D22"/>
    </sheetView>
  </sheetViews>
  <sheetFormatPr defaultColWidth="8.7265625" defaultRowHeight="14.5" x14ac:dyDescent="0.35"/>
  <cols>
    <col min="1" max="1" width="49.54296875" style="10" customWidth="1"/>
    <col min="2" max="2" width="10.1796875" style="10" customWidth="1"/>
    <col min="3" max="3" width="10.81640625" style="10" customWidth="1"/>
    <col min="4" max="4" width="11.54296875" style="10" customWidth="1"/>
    <col min="5" max="5" width="10.81640625" style="10" customWidth="1"/>
    <col min="6" max="6" width="14.7265625" style="10" customWidth="1"/>
    <col min="7" max="7" width="19.54296875" style="10" customWidth="1"/>
    <col min="8" max="8" width="30.81640625" style="10" customWidth="1"/>
    <col min="9" max="9" width="25.7265625" style="10" customWidth="1"/>
    <col min="10" max="10" width="26.26953125" style="10" customWidth="1"/>
    <col min="11" max="11" width="26.54296875" style="10" customWidth="1"/>
    <col min="12" max="12" width="35.1796875" style="10" customWidth="1"/>
    <col min="13" max="13" width="8.7265625" style="10" customWidth="1"/>
    <col min="14" max="24" width="8.7265625" style="10"/>
    <col min="25" max="25" width="11.81640625" style="10" bestFit="1" customWidth="1"/>
    <col min="26" max="29" width="8.7265625" style="10" customWidth="1"/>
    <col min="30" max="16384" width="8.7265625" style="10"/>
  </cols>
  <sheetData>
    <row r="1" spans="1:12" ht="15" thickBot="1" x14ac:dyDescent="0.4">
      <c r="A1" s="1" t="s">
        <v>0</v>
      </c>
      <c r="B1" s="1">
        <v>2022</v>
      </c>
      <c r="C1" s="1">
        <v>2023</v>
      </c>
      <c r="D1" s="1">
        <v>2024</v>
      </c>
      <c r="E1" s="1" t="s">
        <v>1</v>
      </c>
      <c r="F1" s="1" t="s">
        <v>2</v>
      </c>
      <c r="G1" s="16" t="s">
        <v>29</v>
      </c>
      <c r="H1" s="1" t="s">
        <v>3</v>
      </c>
      <c r="I1" s="16" t="s">
        <v>39</v>
      </c>
      <c r="J1" s="16" t="s">
        <v>40</v>
      </c>
      <c r="K1" s="16" t="s">
        <v>41</v>
      </c>
      <c r="L1" s="16" t="s">
        <v>42</v>
      </c>
    </row>
    <row r="2" spans="1:12" ht="24" customHeight="1" thickBot="1" x14ac:dyDescent="0.4">
      <c r="A2" s="34" t="s">
        <v>4</v>
      </c>
      <c r="B2" s="20">
        <v>8</v>
      </c>
      <c r="C2" s="20">
        <v>12</v>
      </c>
      <c r="D2" s="20">
        <v>10</v>
      </c>
      <c r="E2" s="20">
        <v>20</v>
      </c>
      <c r="F2" s="11"/>
      <c r="G2" s="11"/>
      <c r="H2" s="11"/>
      <c r="I2" s="21"/>
      <c r="J2" s="21"/>
      <c r="K2" s="21"/>
      <c r="L2" s="21"/>
    </row>
    <row r="3" spans="1:12" ht="23" thickBot="1" x14ac:dyDescent="0.4">
      <c r="A3" s="2" t="s">
        <v>5</v>
      </c>
      <c r="B3" s="12"/>
      <c r="C3" s="12"/>
      <c r="D3" s="12"/>
      <c r="E3" s="3">
        <v>0.41</v>
      </c>
      <c r="F3" s="12"/>
      <c r="G3" s="12"/>
      <c r="H3" s="12"/>
      <c r="I3" s="22"/>
      <c r="J3" s="22"/>
      <c r="K3" s="22"/>
      <c r="L3" s="22"/>
    </row>
    <row r="4" spans="1:12" ht="23" thickBot="1" x14ac:dyDescent="0.4">
      <c r="A4" s="4" t="s">
        <v>6</v>
      </c>
      <c r="B4" s="12"/>
      <c r="C4" s="12"/>
      <c r="D4" s="12"/>
      <c r="E4" s="12"/>
      <c r="F4" s="12"/>
      <c r="G4" s="12"/>
      <c r="H4" s="12"/>
      <c r="I4" s="22"/>
      <c r="J4" s="22"/>
      <c r="K4" s="22"/>
      <c r="L4" s="22"/>
    </row>
    <row r="5" spans="1:12" ht="24.5" thickBot="1" x14ac:dyDescent="0.4">
      <c r="A5" s="5" t="s">
        <v>44</v>
      </c>
      <c r="B5" s="12"/>
      <c r="C5" s="12"/>
      <c r="D5" s="12"/>
      <c r="E5" s="12"/>
      <c r="F5" s="12"/>
      <c r="G5" s="12"/>
      <c r="H5" s="12"/>
      <c r="I5" s="31">
        <v>500</v>
      </c>
      <c r="J5" s="32">
        <v>15000</v>
      </c>
      <c r="K5" s="32">
        <v>50000</v>
      </c>
      <c r="L5" s="32">
        <f ca="1">_xll.VoseInput(A5,"USD")+_xll.VosePERT(I5,J5,K5)</f>
        <v>27232.880019474786</v>
      </c>
    </row>
    <row r="6" spans="1:12" ht="24.5" thickBot="1" x14ac:dyDescent="0.4">
      <c r="A6" s="5" t="s">
        <v>45</v>
      </c>
      <c r="B6" s="12"/>
      <c r="C6" s="12"/>
      <c r="D6" s="12"/>
      <c r="E6" s="12"/>
      <c r="F6" s="12"/>
      <c r="G6" s="12"/>
      <c r="H6" s="12"/>
      <c r="I6" s="23">
        <v>1000</v>
      </c>
      <c r="J6" s="23">
        <v>20000</v>
      </c>
      <c r="K6" s="24">
        <v>60000</v>
      </c>
      <c r="L6" s="32">
        <f ca="1">_xll.VoseInput(A6,"USD")+_xll.VosePERT(I6,J6,K6)</f>
        <v>11230.696151931807</v>
      </c>
    </row>
    <row r="7" spans="1:12" ht="23" thickBot="1" x14ac:dyDescent="0.4">
      <c r="A7" s="5" t="s">
        <v>46</v>
      </c>
      <c r="B7" s="12"/>
      <c r="C7" s="12"/>
      <c r="D7" s="12"/>
      <c r="E7" s="12"/>
      <c r="F7" s="12"/>
      <c r="G7" s="12"/>
      <c r="H7" s="12"/>
      <c r="I7" s="38">
        <v>2500</v>
      </c>
      <c r="J7" s="38">
        <v>10000</v>
      </c>
      <c r="K7" s="38">
        <v>25000</v>
      </c>
      <c r="L7" s="32">
        <f ca="1">_xll.VoseInput(A7,"USD")+_xll.VosePERT(I7,J7,K7)</f>
        <v>12449.020974803989</v>
      </c>
    </row>
    <row r="8" spans="1:12" ht="23" thickBot="1" x14ac:dyDescent="0.4">
      <c r="A8" s="7" t="s">
        <v>20</v>
      </c>
      <c r="B8" s="12"/>
      <c r="C8" s="12"/>
      <c r="D8" s="12"/>
      <c r="E8" s="12"/>
      <c r="F8" s="12"/>
      <c r="G8" s="12"/>
      <c r="H8" s="12"/>
      <c r="I8" s="22"/>
      <c r="J8" s="22"/>
      <c r="K8" s="22"/>
      <c r="L8" s="22"/>
    </row>
    <row r="9" spans="1:12" ht="23" thickBot="1" x14ac:dyDescent="0.4">
      <c r="A9" s="8" t="s">
        <v>47</v>
      </c>
      <c r="B9" s="12"/>
      <c r="C9" s="12"/>
      <c r="D9" s="12"/>
      <c r="E9" s="12"/>
      <c r="F9" s="12"/>
      <c r="G9" s="12"/>
      <c r="H9" s="12"/>
      <c r="I9" s="25">
        <v>5000</v>
      </c>
      <c r="J9" s="25">
        <v>15000</v>
      </c>
      <c r="K9" s="25">
        <v>80000</v>
      </c>
      <c r="L9" s="32">
        <f ca="1">_xll.VoseInput(A9,"USD")+_xll.VosePERT(I9,J9,K9)</f>
        <v>21443.384180397345</v>
      </c>
    </row>
    <row r="10" spans="1:12" ht="23" thickBot="1" x14ac:dyDescent="0.4">
      <c r="A10" s="8" t="s">
        <v>48</v>
      </c>
      <c r="B10" s="12"/>
      <c r="C10" s="12"/>
      <c r="D10" s="12"/>
      <c r="E10" s="12"/>
      <c r="F10" s="12"/>
      <c r="G10" s="12"/>
      <c r="H10" s="12"/>
      <c r="I10" s="25">
        <v>2000</v>
      </c>
      <c r="J10" s="25">
        <v>10000</v>
      </c>
      <c r="K10" s="25">
        <v>50000</v>
      </c>
      <c r="L10" s="32">
        <f ca="1">_xll.VoseInput(A10,"USD")+_xll.VosePERT(I10,J10,K10)</f>
        <v>6290.5758986012916</v>
      </c>
    </row>
    <row r="11" spans="1:12" ht="24.5" thickBot="1" x14ac:dyDescent="0.4">
      <c r="A11" s="8" t="s">
        <v>49</v>
      </c>
      <c r="B11" s="12"/>
      <c r="C11" s="12"/>
      <c r="D11" s="12"/>
      <c r="E11" s="12"/>
      <c r="F11" s="12"/>
      <c r="G11" s="12"/>
      <c r="H11" s="12"/>
      <c r="I11" s="25">
        <v>500</v>
      </c>
      <c r="J11" s="25">
        <v>5000</v>
      </c>
      <c r="K11" s="25">
        <v>15000</v>
      </c>
      <c r="L11" s="32">
        <f ca="1">_xll.VoseInput(A11,"USD")+_xll.VosePERT(I11,J11,K11)</f>
        <v>12162.114940827165</v>
      </c>
    </row>
    <row r="12" spans="1:12" ht="23" thickBot="1" x14ac:dyDescent="0.4">
      <c r="A12" s="13" t="s">
        <v>28</v>
      </c>
      <c r="B12" s="11"/>
      <c r="C12" s="11"/>
      <c r="D12" s="11"/>
      <c r="E12" s="11"/>
      <c r="F12" s="11"/>
      <c r="G12" s="11"/>
      <c r="H12" s="11"/>
      <c r="I12" s="26">
        <f>SUM(I5,I6,I7,I9,I10,I11)</f>
        <v>11500</v>
      </c>
      <c r="J12" s="26">
        <f>SUM(J5,J6,J7,J9,J10,J11)</f>
        <v>75000</v>
      </c>
      <c r="K12" s="26">
        <f>SUM(K5,K6,K7,K9,K10,K11)</f>
        <v>280000</v>
      </c>
      <c r="L12" s="26">
        <f ca="1">SUM(L5,L6,L7,L9,L10,L11)</f>
        <v>90808.672166036384</v>
      </c>
    </row>
    <row r="13" spans="1:12" ht="39.5" thickBot="1" x14ac:dyDescent="0.4">
      <c r="A13" s="39" t="s">
        <v>43</v>
      </c>
      <c r="B13" s="14"/>
      <c r="C13" s="14"/>
      <c r="D13" s="14"/>
      <c r="E13" s="14"/>
      <c r="F13" s="14"/>
      <c r="G13" s="15"/>
      <c r="H13" s="15"/>
      <c r="I13" s="27">
        <f>E2*E3*SUM(I2:I11)</f>
        <v>94299.999999999985</v>
      </c>
      <c r="J13" s="28">
        <f>E2*E3*SUM(J2:J11)</f>
        <v>615000</v>
      </c>
      <c r="K13" s="28">
        <f>E2*E3*SUM(K2:K11)</f>
        <v>2296000</v>
      </c>
      <c r="L13" s="28">
        <f ca="1">_xll.VoseOutput("Annualized Loss Expectancy")+E2*E3*SUM(L2:L11)</f>
        <v>744631.11176149826</v>
      </c>
    </row>
    <row r="14" spans="1:12" x14ac:dyDescent="0.35">
      <c r="A14" s="10">
        <f>_xll.VoseOutput("Annualized Loss Expectancy")</f>
        <v>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6AAC2952-7B4C-4162-802A-D1059DF9D780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ModelRiskCharts!B3:B12</xm:f>
              <xm:sqref>L5</xm:sqref>
            </x14:sparkline>
          </x14:sparklines>
        </x14:sparklineGroup>
        <x14:sparklineGroup type="column" displayEmptyCellsAs="gap" xr2:uid="{35470021-C057-4C14-8DD3-079D58A8E9E0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ModelRiskCharts!B13:B22</xm:f>
              <xm:sqref>L6</xm:sqref>
            </x14:sparkline>
          </x14:sparklines>
        </x14:sparklineGroup>
        <x14:sparklineGroup type="column" displayEmptyCellsAs="gap" xr2:uid="{53306ADB-020A-47CF-8267-B9786BFC2DE1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ModelRiskCharts!B23:B32</xm:f>
              <xm:sqref>L7</xm:sqref>
            </x14:sparkline>
          </x14:sparklines>
        </x14:sparklineGroup>
        <x14:sparklineGroup type="column" displayEmptyCellsAs="gap" xr2:uid="{AA32C2E5-420C-4810-86C6-9AC7456B75FA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ModelRiskCharts!B33:B42</xm:f>
              <xm:sqref>L9</xm:sqref>
            </x14:sparkline>
          </x14:sparklines>
        </x14:sparklineGroup>
        <x14:sparklineGroup type="column" displayEmptyCellsAs="gap" xr2:uid="{93A74F74-E7DA-4D9F-97CC-127E3CC59D18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ModelRiskCharts!B43:B52</xm:f>
              <xm:sqref>L10</xm:sqref>
            </x14:sparkline>
          </x14:sparklines>
        </x14:sparklineGroup>
        <x14:sparklineGroup type="column" displayEmptyCellsAs="gap" xr2:uid="{3BA815AF-8493-4BAC-A6AC-47D3574417DF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ModelRiskCharts!B53:B62</xm:f>
              <xm:sqref>L11</xm:sqref>
            </x14:sparkline>
          </x14:sparklines>
        </x14:sparklineGroup>
        <x14:sparklineGroup type="column" displayEmptyCellsAs="gap" xr2:uid="{58817310-E86D-4888-90B2-BC7F5841C81A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ModelRiskCharts!B63:B72</xm:f>
              <xm:sqref>L13</xm:sqref>
            </x14:sparkline>
          </x14:sparklines>
        </x14:sparklineGroup>
        <x14:sparklineGroup type="column" displayEmptyCellsAs="gap" xr2:uid="{7EFDC7D6-D7CD-43C3-AD28-6CB394BFBAE0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ModelRiskCharts!B73:B82</xm:f>
              <xm:sqref>A14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6F547-3A15-4D58-A8CB-E6AACD0824B1}">
  <sheetPr codeName="Sheet6"/>
  <dimension ref="A1:L14"/>
  <sheetViews>
    <sheetView zoomScale="60" zoomScaleNormal="60" workbookViewId="0">
      <selection activeCell="L13" sqref="L13"/>
    </sheetView>
  </sheetViews>
  <sheetFormatPr defaultColWidth="8.7265625" defaultRowHeight="14.5" x14ac:dyDescent="0.35"/>
  <cols>
    <col min="1" max="1" width="49.54296875" style="10" customWidth="1"/>
    <col min="2" max="2" width="10.1796875" style="10" hidden="1" customWidth="1"/>
    <col min="3" max="3" width="10.81640625" style="10" hidden="1" customWidth="1"/>
    <col min="4" max="4" width="11.54296875" style="10" hidden="1" customWidth="1"/>
    <col min="5" max="5" width="10.81640625" style="10" hidden="1" customWidth="1"/>
    <col min="6" max="6" width="14.7265625" style="10" hidden="1" customWidth="1"/>
    <col min="7" max="7" width="19.54296875" style="10" hidden="1" customWidth="1"/>
    <col min="8" max="8" width="17.1796875" style="10" hidden="1" customWidth="1"/>
    <col min="9" max="9" width="25.7265625" style="10" customWidth="1"/>
    <col min="10" max="10" width="26.26953125" style="10" customWidth="1"/>
    <col min="11" max="11" width="26.54296875" style="10" customWidth="1"/>
    <col min="12" max="12" width="35.1796875" style="10" customWidth="1"/>
    <col min="13" max="13" width="8.7265625" style="10" customWidth="1"/>
    <col min="14" max="24" width="8.7265625" style="10"/>
    <col min="25" max="25" width="11.81640625" style="10" bestFit="1" customWidth="1"/>
    <col min="26" max="29" width="8.7265625" style="10" customWidth="1"/>
    <col min="30" max="16384" width="8.7265625" style="10"/>
  </cols>
  <sheetData>
    <row r="1" spans="1:12" ht="15" thickBot="1" x14ac:dyDescent="0.4">
      <c r="A1" s="1" t="s">
        <v>0</v>
      </c>
      <c r="B1" s="1">
        <v>2022</v>
      </c>
      <c r="C1" s="1">
        <v>2023</v>
      </c>
      <c r="D1" s="1">
        <v>2024</v>
      </c>
      <c r="E1" s="1" t="s">
        <v>1</v>
      </c>
      <c r="F1" s="1" t="s">
        <v>2</v>
      </c>
      <c r="G1" s="16" t="s">
        <v>29</v>
      </c>
      <c r="H1" s="1" t="s">
        <v>3</v>
      </c>
      <c r="I1" s="16" t="s">
        <v>39</v>
      </c>
      <c r="J1" s="16" t="s">
        <v>40</v>
      </c>
      <c r="K1" s="16" t="s">
        <v>41</v>
      </c>
      <c r="L1" s="16" t="s">
        <v>42</v>
      </c>
    </row>
    <row r="2" spans="1:12" ht="24" customHeight="1" thickBot="1" x14ac:dyDescent="0.4">
      <c r="A2" s="34" t="s">
        <v>4</v>
      </c>
      <c r="B2" s="20">
        <v>8</v>
      </c>
      <c r="C2" s="20">
        <v>12</v>
      </c>
      <c r="D2" s="20">
        <v>10</v>
      </c>
      <c r="E2" s="20">
        <v>2</v>
      </c>
      <c r="F2" s="11"/>
      <c r="G2" s="11"/>
      <c r="H2" s="11"/>
      <c r="I2" s="21"/>
      <c r="J2" s="21"/>
      <c r="K2" s="21"/>
      <c r="L2" s="21"/>
    </row>
    <row r="3" spans="1:12" ht="23" thickBot="1" x14ac:dyDescent="0.4">
      <c r="A3" s="2" t="s">
        <v>5</v>
      </c>
      <c r="B3" s="12"/>
      <c r="C3" s="12"/>
      <c r="D3" s="12"/>
      <c r="E3" s="3">
        <v>0.35</v>
      </c>
      <c r="F3" s="12"/>
      <c r="G3" s="12"/>
      <c r="H3" s="12"/>
      <c r="I3" s="22"/>
      <c r="J3" s="22"/>
      <c r="K3" s="22"/>
      <c r="L3" s="22"/>
    </row>
    <row r="4" spans="1:12" ht="23" thickBot="1" x14ac:dyDescent="0.4">
      <c r="A4" s="4" t="s">
        <v>6</v>
      </c>
      <c r="B4" s="12"/>
      <c r="C4" s="12"/>
      <c r="D4" s="12"/>
      <c r="E4" s="12"/>
      <c r="F4" s="12"/>
      <c r="G4" s="12"/>
      <c r="H4" s="12"/>
      <c r="I4" s="22"/>
      <c r="J4" s="22"/>
      <c r="K4" s="22"/>
      <c r="L4" s="22"/>
    </row>
    <row r="5" spans="1:12" ht="24.5" thickBot="1" x14ac:dyDescent="0.4">
      <c r="A5" s="5" t="s">
        <v>44</v>
      </c>
      <c r="B5" s="12"/>
      <c r="C5" s="12"/>
      <c r="D5" s="12"/>
      <c r="E5" s="12"/>
      <c r="F5" s="12"/>
      <c r="G5" s="12"/>
      <c r="H5" s="12"/>
      <c r="I5" s="31">
        <v>5000</v>
      </c>
      <c r="J5" s="32">
        <v>35000</v>
      </c>
      <c r="K5" s="32">
        <v>120000</v>
      </c>
      <c r="L5" s="32">
        <f ca="1">_xll.VoseInput(A5,"USD")+_xll.VosePERT(I5,J5,K5)</f>
        <v>65624.009607909218</v>
      </c>
    </row>
    <row r="6" spans="1:12" ht="24.5" thickBot="1" x14ac:dyDescent="0.4">
      <c r="A6" s="5" t="s">
        <v>45</v>
      </c>
      <c r="B6" s="12"/>
      <c r="C6" s="12"/>
      <c r="D6" s="12"/>
      <c r="E6" s="12"/>
      <c r="F6" s="12"/>
      <c r="G6" s="12"/>
      <c r="H6" s="12"/>
      <c r="I6" s="23">
        <v>10000</v>
      </c>
      <c r="J6" s="23">
        <v>40000</v>
      </c>
      <c r="K6" s="24">
        <v>150000</v>
      </c>
      <c r="L6" s="32">
        <f ca="1">_xll.VoseInput(A6,"USD")+_xll.VosePERT(I6,J6,K6)</f>
        <v>110502.58767095975</v>
      </c>
    </row>
    <row r="7" spans="1:12" ht="23" thickBot="1" x14ac:dyDescent="0.4">
      <c r="A7" s="5" t="s">
        <v>46</v>
      </c>
      <c r="B7" s="12"/>
      <c r="C7" s="12"/>
      <c r="D7" s="12"/>
      <c r="E7" s="12"/>
      <c r="F7" s="12"/>
      <c r="G7" s="12"/>
      <c r="H7" s="12"/>
      <c r="I7" s="38">
        <v>2000</v>
      </c>
      <c r="J7" s="38">
        <v>25000</v>
      </c>
      <c r="K7" s="38">
        <v>100000</v>
      </c>
      <c r="L7" s="32">
        <f ca="1">_xll.VoseInput(A7,"USD")+_xll.VosePERT(I7,J7,K7)</f>
        <v>30261.994592811163</v>
      </c>
    </row>
    <row r="8" spans="1:12" ht="23" thickBot="1" x14ac:dyDescent="0.4">
      <c r="A8" s="7" t="s">
        <v>20</v>
      </c>
      <c r="B8" s="12"/>
      <c r="C8" s="12"/>
      <c r="D8" s="12"/>
      <c r="E8" s="12"/>
      <c r="F8" s="12"/>
      <c r="G8" s="12"/>
      <c r="H8" s="12"/>
      <c r="I8" s="22"/>
      <c r="J8" s="22"/>
      <c r="K8" s="22"/>
      <c r="L8" s="22"/>
    </row>
    <row r="9" spans="1:12" ht="23" thickBot="1" x14ac:dyDescent="0.4">
      <c r="A9" s="8" t="s">
        <v>47</v>
      </c>
      <c r="B9" s="12"/>
      <c r="C9" s="12"/>
      <c r="D9" s="12"/>
      <c r="E9" s="12"/>
      <c r="F9" s="12"/>
      <c r="G9" s="12"/>
      <c r="H9" s="12"/>
      <c r="I9" s="25">
        <v>20000</v>
      </c>
      <c r="J9" s="25">
        <v>75000</v>
      </c>
      <c r="K9" s="25">
        <v>300000</v>
      </c>
      <c r="L9" s="32">
        <f ca="1">_xll.VoseInput(A9,"USD")+_xll.VosePERT(I9,J9,K9)</f>
        <v>71804.451769991603</v>
      </c>
    </row>
    <row r="10" spans="1:12" ht="23" thickBot="1" x14ac:dyDescent="0.4">
      <c r="A10" s="8" t="s">
        <v>48</v>
      </c>
      <c r="B10" s="12"/>
      <c r="C10" s="12"/>
      <c r="D10" s="12"/>
      <c r="E10" s="12"/>
      <c r="F10" s="12"/>
      <c r="G10" s="12"/>
      <c r="H10" s="12"/>
      <c r="I10" s="25">
        <v>5000</v>
      </c>
      <c r="J10" s="25">
        <v>50000</v>
      </c>
      <c r="K10" s="25">
        <v>200000</v>
      </c>
      <c r="L10" s="32">
        <f ca="1">_xll.VoseInput(A10,"USD")+_xll.VosePERT(I10,J10,K10)</f>
        <v>77770.399574065406</v>
      </c>
    </row>
    <row r="11" spans="1:12" ht="24.5" thickBot="1" x14ac:dyDescent="0.4">
      <c r="A11" s="8" t="s">
        <v>49</v>
      </c>
      <c r="B11" s="12"/>
      <c r="C11" s="12"/>
      <c r="D11" s="12"/>
      <c r="E11" s="12"/>
      <c r="F11" s="12"/>
      <c r="G11" s="12"/>
      <c r="H11" s="12"/>
      <c r="I11" s="25">
        <v>2500</v>
      </c>
      <c r="J11" s="25">
        <v>30000</v>
      </c>
      <c r="K11" s="25">
        <v>250000</v>
      </c>
      <c r="L11" s="32">
        <f ca="1">_xll.VoseInput(A11,"USD")+_xll.VosePERT(I11,J11,K11)</f>
        <v>86888.25983645783</v>
      </c>
    </row>
    <row r="12" spans="1:12" ht="23" thickBot="1" x14ac:dyDescent="0.4">
      <c r="A12" s="13" t="s">
        <v>28</v>
      </c>
      <c r="B12" s="11"/>
      <c r="C12" s="11"/>
      <c r="D12" s="11"/>
      <c r="E12" s="11"/>
      <c r="F12" s="11"/>
      <c r="G12" s="11"/>
      <c r="H12" s="11"/>
      <c r="I12" s="26">
        <f>SUM(I5,I6,I7,I9,I10,I11)</f>
        <v>44500</v>
      </c>
      <c r="J12" s="26">
        <f>SUM(J5,J6,J7,J9,J10,J11)</f>
        <v>255000</v>
      </c>
      <c r="K12" s="26">
        <f>SUM(K5,K6,K7,K9,K10,K11)</f>
        <v>1120000</v>
      </c>
      <c r="L12" s="26">
        <f ca="1">SUM(L5,L6,L7,L9,L10,L11)</f>
        <v>442851.70305219496</v>
      </c>
    </row>
    <row r="13" spans="1:12" ht="39.5" thickBot="1" x14ac:dyDescent="0.4">
      <c r="A13" s="39" t="s">
        <v>43</v>
      </c>
      <c r="B13" s="14"/>
      <c r="C13" s="14"/>
      <c r="D13" s="14"/>
      <c r="E13" s="14"/>
      <c r="F13" s="14"/>
      <c r="G13" s="15"/>
      <c r="H13" s="15"/>
      <c r="I13" s="27">
        <f>E2*E3*SUM(I2:I11)</f>
        <v>31149.999999999996</v>
      </c>
      <c r="J13" s="28">
        <f>E2*E3*SUM(J2:J11)</f>
        <v>178500</v>
      </c>
      <c r="K13" s="28">
        <f>E2*E3*SUM(K2:K11)</f>
        <v>784000</v>
      </c>
      <c r="L13" s="28">
        <f ca="1">_xll.VoseOutput("Annualized Loss Expectancy")+E2*E3*SUM(L2:L11)</f>
        <v>309996.19213653647</v>
      </c>
    </row>
    <row r="14" spans="1:12" x14ac:dyDescent="0.35">
      <c r="A14" s="10">
        <f>_xll.VoseOutput("Annualized Loss Expectancy")</f>
        <v>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2055B5A6-8171-4508-889E-38F995AF3C4C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ModelRiskCharts!B153:B162</xm:f>
              <xm:sqref>A14</xm:sqref>
            </x14:sparkline>
          </x14:sparklines>
        </x14:sparklineGroup>
        <x14:sparklineGroup type="column" displayEmptyCellsAs="gap" xr2:uid="{5C9B8EFB-06EA-421C-859C-99945F520589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ModelRiskCharts!B143:B152</xm:f>
              <xm:sqref>L13</xm:sqref>
            </x14:sparkline>
          </x14:sparklines>
        </x14:sparklineGroup>
        <x14:sparklineGroup type="column" displayEmptyCellsAs="gap" xr2:uid="{E8CABEC1-D858-44C8-B228-E6AEB3455B84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ModelRiskCharts!B133:B142</xm:f>
              <xm:sqref>L11</xm:sqref>
            </x14:sparkline>
          </x14:sparklines>
        </x14:sparklineGroup>
        <x14:sparklineGroup type="column" displayEmptyCellsAs="gap" xr2:uid="{CE2FC484-86CB-4AEC-B251-3AF0B9998F97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ModelRiskCharts!B123:B132</xm:f>
              <xm:sqref>L10</xm:sqref>
            </x14:sparkline>
          </x14:sparklines>
        </x14:sparklineGroup>
        <x14:sparklineGroup type="column" displayEmptyCellsAs="gap" xr2:uid="{631E3137-C3FE-4C28-ABAD-CB2B673A4CD3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ModelRiskCharts!B113:B122</xm:f>
              <xm:sqref>L9</xm:sqref>
            </x14:sparkline>
          </x14:sparklines>
        </x14:sparklineGroup>
        <x14:sparklineGroup type="column" displayEmptyCellsAs="gap" xr2:uid="{D90FBCAD-1BF6-4898-9E10-7A4661B16E14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ModelRiskCharts!B103:B112</xm:f>
              <xm:sqref>L7</xm:sqref>
            </x14:sparkline>
          </x14:sparklines>
        </x14:sparklineGroup>
        <x14:sparklineGroup type="column" displayEmptyCellsAs="gap" xr2:uid="{80A21F0D-2A11-4B8A-8EA9-B9C4E15F7E45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ModelRiskCharts!B93:B102</xm:f>
              <xm:sqref>L6</xm:sqref>
            </x14:sparkline>
          </x14:sparklines>
        </x14:sparklineGroup>
        <x14:sparklineGroup type="column" displayEmptyCellsAs="gap" xr2:uid="{C9D3E068-1E46-47DF-9B74-F553F4BBEC92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ModelRiskCharts!B83:B92</xm:f>
              <xm:sqref>L5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E1AC9-F8AC-47D6-8C52-9AD7B2F50D74}">
  <sheetPr codeName="Sheet7"/>
  <dimension ref="A1:L14"/>
  <sheetViews>
    <sheetView tabSelected="1" zoomScale="60" zoomScaleNormal="60" workbookViewId="0">
      <selection activeCell="H13" sqref="H13"/>
    </sheetView>
  </sheetViews>
  <sheetFormatPr defaultColWidth="8.7265625" defaultRowHeight="14.5" x14ac:dyDescent="0.35"/>
  <cols>
    <col min="1" max="1" width="49.54296875" style="10" customWidth="1"/>
    <col min="2" max="2" width="10.1796875" style="10" customWidth="1"/>
    <col min="3" max="3" width="10.81640625" style="10" customWidth="1"/>
    <col min="4" max="4" width="11.54296875" style="10" customWidth="1"/>
    <col min="5" max="5" width="10.81640625" style="10" customWidth="1"/>
    <col min="6" max="6" width="14.7265625" style="10" customWidth="1"/>
    <col min="7" max="7" width="19.54296875" style="10" customWidth="1"/>
    <col min="8" max="8" width="17.1796875" style="10" customWidth="1"/>
    <col min="9" max="9" width="25.7265625" style="10" customWidth="1"/>
    <col min="10" max="10" width="26.26953125" style="10" customWidth="1"/>
    <col min="11" max="11" width="26.54296875" style="10" customWidth="1"/>
    <col min="12" max="12" width="35.1796875" style="10" customWidth="1"/>
    <col min="13" max="13" width="8.7265625" style="10" customWidth="1"/>
    <col min="14" max="24" width="8.7265625" style="10"/>
    <col min="25" max="25" width="11.81640625" style="10" bestFit="1" customWidth="1"/>
    <col min="26" max="31" width="8.7265625" style="10" customWidth="1"/>
    <col min="32" max="16384" width="8.7265625" style="10"/>
  </cols>
  <sheetData>
    <row r="1" spans="1:12" ht="15" thickBot="1" x14ac:dyDescent="0.4">
      <c r="A1" s="1" t="s">
        <v>0</v>
      </c>
      <c r="B1" s="1">
        <v>2022</v>
      </c>
      <c r="C1" s="1">
        <v>2023</v>
      </c>
      <c r="D1" s="1">
        <v>2024</v>
      </c>
      <c r="E1" s="1" t="s">
        <v>1</v>
      </c>
      <c r="F1" s="1" t="s">
        <v>2</v>
      </c>
      <c r="G1" s="16" t="s">
        <v>29</v>
      </c>
      <c r="H1" s="1" t="s">
        <v>3</v>
      </c>
      <c r="I1" s="16" t="s">
        <v>39</v>
      </c>
      <c r="J1" s="16" t="s">
        <v>40</v>
      </c>
      <c r="K1" s="16" t="s">
        <v>41</v>
      </c>
      <c r="L1" s="16" t="s">
        <v>42</v>
      </c>
    </row>
    <row r="2" spans="1:12" ht="24" customHeight="1" thickBot="1" x14ac:dyDescent="0.4">
      <c r="A2" s="34" t="s">
        <v>4</v>
      </c>
      <c r="B2" s="20">
        <v>8</v>
      </c>
      <c r="C2" s="20">
        <v>12</v>
      </c>
      <c r="D2" s="20">
        <v>10</v>
      </c>
      <c r="E2" s="20">
        <v>10</v>
      </c>
      <c r="F2" s="11"/>
      <c r="G2" s="11"/>
      <c r="H2" s="11"/>
      <c r="I2" s="21"/>
      <c r="J2" s="21"/>
      <c r="K2" s="21"/>
      <c r="L2" s="21"/>
    </row>
    <row r="3" spans="1:12" ht="23" thickBot="1" x14ac:dyDescent="0.4">
      <c r="A3" s="2" t="s">
        <v>5</v>
      </c>
      <c r="B3" s="12"/>
      <c r="C3" s="12"/>
      <c r="D3" s="12"/>
      <c r="E3" s="3">
        <v>0.25</v>
      </c>
      <c r="F3" s="12"/>
      <c r="G3" s="12"/>
      <c r="H3" s="12"/>
      <c r="I3" s="22"/>
      <c r="J3" s="22"/>
      <c r="K3" s="22"/>
      <c r="L3" s="22"/>
    </row>
    <row r="4" spans="1:12" ht="23" thickBot="1" x14ac:dyDescent="0.4">
      <c r="A4" s="4" t="s">
        <v>6</v>
      </c>
      <c r="B4" s="12"/>
      <c r="C4" s="12"/>
      <c r="D4" s="12"/>
      <c r="E4" s="12"/>
      <c r="F4" s="12"/>
      <c r="G4" s="12"/>
      <c r="H4" s="12"/>
      <c r="I4" s="22"/>
      <c r="J4" s="22"/>
      <c r="K4" s="22"/>
      <c r="L4" s="22"/>
    </row>
    <row r="5" spans="1:12" ht="23" thickBot="1" x14ac:dyDescent="0.4">
      <c r="A5" s="5" t="s">
        <v>51</v>
      </c>
      <c r="B5" s="12"/>
      <c r="C5" s="12"/>
      <c r="D5" s="12"/>
      <c r="E5" s="12"/>
      <c r="F5" s="12"/>
      <c r="G5" s="12"/>
      <c r="H5" s="12"/>
      <c r="I5" s="31">
        <v>5000</v>
      </c>
      <c r="J5" s="32">
        <v>50000</v>
      </c>
      <c r="K5" s="32">
        <v>200000</v>
      </c>
      <c r="L5" s="32">
        <f ca="1">_xll.VoseInput(A5,"USD")+_xll.VosePERT(I5,J5,K5)</f>
        <v>88284.32560717233</v>
      </c>
    </row>
    <row r="6" spans="1:12" ht="36.5" thickBot="1" x14ac:dyDescent="0.4">
      <c r="A6" s="5" t="s">
        <v>52</v>
      </c>
      <c r="B6" s="12"/>
      <c r="C6" s="12"/>
      <c r="D6" s="12"/>
      <c r="E6" s="12"/>
      <c r="F6" s="12"/>
      <c r="G6" s="12"/>
      <c r="H6" s="12"/>
      <c r="I6" s="23">
        <v>10000</v>
      </c>
      <c r="J6" s="23">
        <v>40000</v>
      </c>
      <c r="K6" s="24">
        <v>100000</v>
      </c>
      <c r="L6" s="32">
        <f ca="1">_xll.VoseInput(A6,"USD")+_xll.VosePERT(I6,J6,K6)</f>
        <v>27807.152746777534</v>
      </c>
    </row>
    <row r="7" spans="1:12" ht="23" thickBot="1" x14ac:dyDescent="0.4">
      <c r="A7" s="5" t="s">
        <v>53</v>
      </c>
      <c r="B7" s="12"/>
      <c r="C7" s="12"/>
      <c r="D7" s="12"/>
      <c r="E7" s="12"/>
      <c r="F7" s="12"/>
      <c r="G7" s="12"/>
      <c r="H7" s="12"/>
      <c r="I7" s="38">
        <v>7000</v>
      </c>
      <c r="J7" s="38">
        <v>15000</v>
      </c>
      <c r="K7" s="38">
        <v>40000</v>
      </c>
      <c r="L7" s="32">
        <f ca="1">_xll.VoseInput(A7,"USD")+_xll.VosePERT(I7,J7,K7)</f>
        <v>12192.035233971066</v>
      </c>
    </row>
    <row r="8" spans="1:12" ht="23" thickBot="1" x14ac:dyDescent="0.4">
      <c r="A8" s="7" t="s">
        <v>20</v>
      </c>
      <c r="B8" s="12"/>
      <c r="C8" s="12"/>
      <c r="D8" s="12"/>
      <c r="E8" s="12"/>
      <c r="F8" s="12"/>
      <c r="G8" s="12"/>
      <c r="H8" s="12"/>
      <c r="I8" s="22"/>
      <c r="J8" s="22"/>
      <c r="K8" s="22"/>
      <c r="L8" s="22"/>
    </row>
    <row r="9" spans="1:12" ht="23" thickBot="1" x14ac:dyDescent="0.4">
      <c r="A9" s="8" t="s">
        <v>55</v>
      </c>
      <c r="B9" s="12"/>
      <c r="C9" s="12"/>
      <c r="D9" s="12"/>
      <c r="E9" s="12"/>
      <c r="F9" s="12"/>
      <c r="G9" s="12"/>
      <c r="H9" s="12"/>
      <c r="I9" s="25">
        <v>10000</v>
      </c>
      <c r="J9" s="25">
        <v>100000</v>
      </c>
      <c r="K9" s="25">
        <v>500000</v>
      </c>
      <c r="L9" s="32">
        <f ca="1">_xll.VoseInput(A9,"USD")+_xll.VosePERT(I9,J9,K9)</f>
        <v>109730.29981185167</v>
      </c>
    </row>
    <row r="10" spans="1:12" ht="23" thickBot="1" x14ac:dyDescent="0.4">
      <c r="A10" s="8" t="s">
        <v>47</v>
      </c>
      <c r="B10" s="12"/>
      <c r="C10" s="12"/>
      <c r="D10" s="12"/>
      <c r="E10" s="12"/>
      <c r="F10" s="12"/>
      <c r="G10" s="12"/>
      <c r="H10" s="12"/>
      <c r="I10" s="25">
        <v>15000</v>
      </c>
      <c r="J10" s="25">
        <v>60000</v>
      </c>
      <c r="K10" s="25">
        <v>150000</v>
      </c>
      <c r="L10" s="32">
        <f ca="1">_xll.VoseInput(A10,"USD")+_xll.VosePERT(I10,J10,K10)</f>
        <v>73488.754420871497</v>
      </c>
    </row>
    <row r="11" spans="1:12" ht="24.5" thickBot="1" x14ac:dyDescent="0.4">
      <c r="A11" s="8" t="s">
        <v>54</v>
      </c>
      <c r="B11" s="12"/>
      <c r="C11" s="12"/>
      <c r="D11" s="12"/>
      <c r="E11" s="12"/>
      <c r="F11" s="12"/>
      <c r="G11" s="12"/>
      <c r="H11" s="12"/>
      <c r="I11" s="25">
        <v>25000</v>
      </c>
      <c r="J11" s="25">
        <v>75000</v>
      </c>
      <c r="K11" s="25">
        <v>250000</v>
      </c>
      <c r="L11" s="32">
        <f ca="1">_xll.VoseInput(A11,"USD")+_xll.VosePERT(I11,J11,K11)</f>
        <v>54845.158375700732</v>
      </c>
    </row>
    <row r="12" spans="1:12" ht="23" thickBot="1" x14ac:dyDescent="0.4">
      <c r="A12" s="13" t="s">
        <v>28</v>
      </c>
      <c r="B12" s="11"/>
      <c r="C12" s="11"/>
      <c r="D12" s="11"/>
      <c r="E12" s="11"/>
      <c r="F12" s="11"/>
      <c r="G12" s="11"/>
      <c r="H12" s="11"/>
      <c r="I12" s="26">
        <f>SUM(I5,I6,I7,I9,I10,I11)</f>
        <v>72000</v>
      </c>
      <c r="J12" s="26">
        <f>SUM(J5,J6,J7,J9,J10,J11)</f>
        <v>340000</v>
      </c>
      <c r="K12" s="26">
        <f>SUM(K5,K6,K7,K9,K10,K11)</f>
        <v>1240000</v>
      </c>
      <c r="L12" s="26">
        <f ca="1">SUM(L5,L6,L7,L9,L10,L11)</f>
        <v>366347.72619634483</v>
      </c>
    </row>
    <row r="13" spans="1:12" ht="39.5" thickBot="1" x14ac:dyDescent="0.4">
      <c r="A13" s="39" t="s">
        <v>43</v>
      </c>
      <c r="B13" s="14"/>
      <c r="C13" s="14"/>
      <c r="D13" s="14"/>
      <c r="E13" s="14"/>
      <c r="F13" s="14"/>
      <c r="G13" s="15"/>
      <c r="H13" s="15"/>
      <c r="I13" s="27">
        <f>E2*E3*SUM(I2:I11)</f>
        <v>180000</v>
      </c>
      <c r="J13" s="28">
        <f>E2*E3*SUM(J2:J11)</f>
        <v>850000</v>
      </c>
      <c r="K13" s="28">
        <f>E2*E3*SUM(K2:K11)</f>
        <v>3100000</v>
      </c>
      <c r="L13" s="28">
        <f ca="1">_xll.VoseOutput("Annualized Loss Expectancy")+E2*E3*SUM(L2:L11)</f>
        <v>915869.31549086212</v>
      </c>
    </row>
    <row r="14" spans="1:12" x14ac:dyDescent="0.35">
      <c r="A14" s="10">
        <f>_xll.VoseOutput("Annualized Loss Expectancy")</f>
        <v>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42B1583F-F10B-4966-A299-D11F62838526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ModelRiskCharts!B163:B172</xm:f>
              <xm:sqref>L5</xm:sqref>
            </x14:sparkline>
          </x14:sparklines>
        </x14:sparklineGroup>
        <x14:sparklineGroup type="column" displayEmptyCellsAs="gap" xr2:uid="{CA9FA329-84F4-41D2-816F-0282851B8922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ModelRiskCharts!B173:B182</xm:f>
              <xm:sqref>L6</xm:sqref>
            </x14:sparkline>
          </x14:sparklines>
        </x14:sparklineGroup>
        <x14:sparklineGroup type="column" displayEmptyCellsAs="gap" xr2:uid="{B326E78E-9706-4091-A887-9A32CCC3BA7F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ModelRiskCharts!B183:B192</xm:f>
              <xm:sqref>L7</xm:sqref>
            </x14:sparkline>
          </x14:sparklines>
        </x14:sparklineGroup>
        <x14:sparklineGroup type="column" displayEmptyCellsAs="gap" xr2:uid="{640A511B-B83E-492B-9125-AF75000AE341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ModelRiskCharts!B193:B202</xm:f>
              <xm:sqref>L9</xm:sqref>
            </x14:sparkline>
          </x14:sparklines>
        </x14:sparklineGroup>
        <x14:sparklineGroup type="column" displayEmptyCellsAs="gap" xr2:uid="{D394E007-0926-4916-BE6E-C91D15E8A156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ModelRiskCharts!B203:B212</xm:f>
              <xm:sqref>L10</xm:sqref>
            </x14:sparkline>
          </x14:sparklines>
        </x14:sparklineGroup>
        <x14:sparklineGroup type="column" displayEmptyCellsAs="gap" xr2:uid="{44C719CA-D4B6-4B04-B6FF-287F49343557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ModelRiskCharts!B213:B222</xm:f>
              <xm:sqref>L11</xm:sqref>
            </x14:sparkline>
          </x14:sparklines>
        </x14:sparklineGroup>
        <x14:sparklineGroup type="column" displayEmptyCellsAs="gap" xr2:uid="{FD8AFFAA-A6FF-4484-BBF8-618D22637134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ModelRiskCharts!B223:B232</xm:f>
              <xm:sqref>L13</xm:sqref>
            </x14:sparkline>
          </x14:sparklines>
        </x14:sparklineGroup>
        <x14:sparklineGroup type="column" displayEmptyCellsAs="gap" xr2:uid="{F51D2FEA-B05E-433B-8A76-334A250E43F5}">
          <x14:colorSeries rgb="FFD2DCDC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ModelRiskCharts!B233:B242</xm:f>
              <xm:sqref>A14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75343-EEE6-4DB3-B453-71B181285759}">
  <sheetPr codeName="Sheet2"/>
  <dimension ref="A1:B1"/>
  <sheetViews>
    <sheetView workbookViewId="0"/>
  </sheetViews>
  <sheetFormatPr defaultRowHeight="14.5" x14ac:dyDescent="0.35"/>
  <sheetData>
    <row r="1" spans="1:2" x14ac:dyDescent="0.35">
      <c r="A1" t="s">
        <v>30</v>
      </c>
      <c r="B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6F7E-FF0A-40A9-BFEC-BF857D9A85CB}">
  <sheetPr codeName="Sheet3"/>
  <dimension ref="A1:I2"/>
  <sheetViews>
    <sheetView workbookViewId="0"/>
  </sheetViews>
  <sheetFormatPr defaultRowHeight="14.5" x14ac:dyDescent="0.35"/>
  <sheetData>
    <row r="1" spans="1:9" x14ac:dyDescent="0.35">
      <c r="A1">
        <v>1</v>
      </c>
    </row>
    <row r="2" spans="1:9" x14ac:dyDescent="0.35">
      <c r="E2" s="40" t="s">
        <v>31</v>
      </c>
      <c r="F2">
        <v>2</v>
      </c>
      <c r="G2" t="s">
        <v>57</v>
      </c>
      <c r="H2" t="s">
        <v>56</v>
      </c>
      <c r="I2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ABEC8-9BB0-4F11-B753-0302D2FC9F08}">
  <sheetPr codeName="Sheet4"/>
  <dimension ref="B3:B322"/>
  <sheetViews>
    <sheetView workbookViewId="0"/>
  </sheetViews>
  <sheetFormatPr defaultRowHeight="14.5" x14ac:dyDescent="0.35"/>
  <sheetData>
    <row r="3" spans="2:2" x14ac:dyDescent="0.35">
      <c r="B3">
        <v>124</v>
      </c>
    </row>
    <row r="4" spans="2:2" x14ac:dyDescent="0.35">
      <c r="B4">
        <v>275</v>
      </c>
    </row>
    <row r="5" spans="2:2" x14ac:dyDescent="0.35">
      <c r="B5">
        <v>336</v>
      </c>
    </row>
    <row r="6" spans="2:2" x14ac:dyDescent="0.35">
      <c r="B6">
        <v>376</v>
      </c>
    </row>
    <row r="7" spans="2:2" x14ac:dyDescent="0.35">
      <c r="B7">
        <v>336</v>
      </c>
    </row>
    <row r="8" spans="2:2" x14ac:dyDescent="0.35">
      <c r="B8">
        <v>232</v>
      </c>
    </row>
    <row r="9" spans="2:2" x14ac:dyDescent="0.35">
      <c r="B9">
        <v>179</v>
      </c>
    </row>
    <row r="10" spans="2:2" x14ac:dyDescent="0.35">
      <c r="B10">
        <v>94</v>
      </c>
    </row>
    <row r="11" spans="2:2" x14ac:dyDescent="0.35">
      <c r="B11">
        <v>35</v>
      </c>
    </row>
    <row r="12" spans="2:2" x14ac:dyDescent="0.35">
      <c r="B12">
        <v>13</v>
      </c>
    </row>
    <row r="13" spans="2:2" x14ac:dyDescent="0.35">
      <c r="B13">
        <v>94</v>
      </c>
    </row>
    <row r="14" spans="2:2" x14ac:dyDescent="0.35">
      <c r="B14">
        <v>232</v>
      </c>
    </row>
    <row r="15" spans="2:2" x14ac:dyDescent="0.35">
      <c r="B15">
        <v>329</v>
      </c>
    </row>
    <row r="16" spans="2:2" x14ac:dyDescent="0.35">
      <c r="B16">
        <v>373</v>
      </c>
    </row>
    <row r="17" spans="2:2" x14ac:dyDescent="0.35">
      <c r="B17">
        <v>349</v>
      </c>
    </row>
    <row r="18" spans="2:2" x14ac:dyDescent="0.35">
      <c r="B18">
        <v>275</v>
      </c>
    </row>
    <row r="19" spans="2:2" x14ac:dyDescent="0.35">
      <c r="B19">
        <v>180</v>
      </c>
    </row>
    <row r="20" spans="2:2" x14ac:dyDescent="0.35">
      <c r="B20">
        <v>111</v>
      </c>
    </row>
    <row r="21" spans="2:2" x14ac:dyDescent="0.35">
      <c r="B21">
        <v>48</v>
      </c>
    </row>
    <row r="22" spans="2:2" x14ac:dyDescent="0.35">
      <c r="B22">
        <v>9</v>
      </c>
    </row>
    <row r="23" spans="2:2" x14ac:dyDescent="0.35">
      <c r="B23">
        <v>83</v>
      </c>
    </row>
    <row r="24" spans="2:2" x14ac:dyDescent="0.35">
      <c r="B24">
        <v>229</v>
      </c>
    </row>
    <row r="25" spans="2:2" x14ac:dyDescent="0.35">
      <c r="B25">
        <v>322</v>
      </c>
    </row>
    <row r="26" spans="2:2" x14ac:dyDescent="0.35">
      <c r="B26">
        <v>359</v>
      </c>
    </row>
    <row r="27" spans="2:2" x14ac:dyDescent="0.35">
      <c r="B27">
        <v>351</v>
      </c>
    </row>
    <row r="28" spans="2:2" x14ac:dyDescent="0.35">
      <c r="B28">
        <v>253</v>
      </c>
    </row>
    <row r="29" spans="2:2" x14ac:dyDescent="0.35">
      <c r="B29">
        <v>217</v>
      </c>
    </row>
    <row r="30" spans="2:2" x14ac:dyDescent="0.35">
      <c r="B30">
        <v>114</v>
      </c>
    </row>
    <row r="31" spans="2:2" x14ac:dyDescent="0.35">
      <c r="B31">
        <v>55</v>
      </c>
    </row>
    <row r="32" spans="2:2" x14ac:dyDescent="0.35">
      <c r="B32">
        <v>17</v>
      </c>
    </row>
    <row r="33" spans="2:2" x14ac:dyDescent="0.35">
      <c r="B33">
        <v>333</v>
      </c>
    </row>
    <row r="34" spans="2:2" x14ac:dyDescent="0.35">
      <c r="B34">
        <v>463</v>
      </c>
    </row>
    <row r="35" spans="2:2" x14ac:dyDescent="0.35">
      <c r="B35">
        <v>405</v>
      </c>
    </row>
    <row r="36" spans="2:2" x14ac:dyDescent="0.35">
      <c r="B36">
        <v>299</v>
      </c>
    </row>
    <row r="37" spans="2:2" x14ac:dyDescent="0.35">
      <c r="B37">
        <v>221</v>
      </c>
    </row>
    <row r="38" spans="2:2" x14ac:dyDescent="0.35">
      <c r="B38">
        <v>143</v>
      </c>
    </row>
    <row r="39" spans="2:2" x14ac:dyDescent="0.35">
      <c r="B39">
        <v>75</v>
      </c>
    </row>
    <row r="40" spans="2:2" x14ac:dyDescent="0.35">
      <c r="B40">
        <v>44</v>
      </c>
    </row>
    <row r="41" spans="2:2" x14ac:dyDescent="0.35">
      <c r="B41">
        <v>10</v>
      </c>
    </row>
    <row r="42" spans="2:2" x14ac:dyDescent="0.35">
      <c r="B42">
        <v>7</v>
      </c>
    </row>
    <row r="43" spans="2:2" x14ac:dyDescent="0.35">
      <c r="B43">
        <v>271</v>
      </c>
    </row>
    <row r="44" spans="2:2" x14ac:dyDescent="0.35">
      <c r="B44">
        <v>422</v>
      </c>
    </row>
    <row r="45" spans="2:2" x14ac:dyDescent="0.35">
      <c r="B45">
        <v>402</v>
      </c>
    </row>
    <row r="46" spans="2:2" x14ac:dyDescent="0.35">
      <c r="B46">
        <v>319</v>
      </c>
    </row>
    <row r="47" spans="2:2" x14ac:dyDescent="0.35">
      <c r="B47">
        <v>229</v>
      </c>
    </row>
    <row r="48" spans="2:2" x14ac:dyDescent="0.35">
      <c r="B48">
        <v>178</v>
      </c>
    </row>
    <row r="49" spans="2:2" x14ac:dyDescent="0.35">
      <c r="B49">
        <v>111</v>
      </c>
    </row>
    <row r="50" spans="2:2" x14ac:dyDescent="0.35">
      <c r="B50">
        <v>43</v>
      </c>
    </row>
    <row r="51" spans="2:2" x14ac:dyDescent="0.35">
      <c r="B51">
        <v>15</v>
      </c>
    </row>
    <row r="52" spans="2:2" x14ac:dyDescent="0.35">
      <c r="B52">
        <v>10</v>
      </c>
    </row>
    <row r="53" spans="2:2" x14ac:dyDescent="0.35">
      <c r="B53">
        <v>75</v>
      </c>
    </row>
    <row r="54" spans="2:2" x14ac:dyDescent="0.35">
      <c r="B54">
        <v>231</v>
      </c>
    </row>
    <row r="55" spans="2:2" x14ac:dyDescent="0.35">
      <c r="B55">
        <v>320</v>
      </c>
    </row>
    <row r="56" spans="2:2" x14ac:dyDescent="0.35">
      <c r="B56">
        <v>396</v>
      </c>
    </row>
    <row r="57" spans="2:2" x14ac:dyDescent="0.35">
      <c r="B57">
        <v>319</v>
      </c>
    </row>
    <row r="58" spans="2:2" x14ac:dyDescent="0.35">
      <c r="B58">
        <v>284</v>
      </c>
    </row>
    <row r="59" spans="2:2" x14ac:dyDescent="0.35">
      <c r="B59">
        <v>188</v>
      </c>
    </row>
    <row r="60" spans="2:2" x14ac:dyDescent="0.35">
      <c r="B60">
        <v>113</v>
      </c>
    </row>
    <row r="61" spans="2:2" x14ac:dyDescent="0.35">
      <c r="B61">
        <v>55</v>
      </c>
    </row>
    <row r="62" spans="2:2" x14ac:dyDescent="0.35">
      <c r="B62">
        <v>19</v>
      </c>
    </row>
    <row r="63" spans="2:2" x14ac:dyDescent="0.35">
      <c r="B63">
        <v>16</v>
      </c>
    </row>
    <row r="64" spans="2:2" x14ac:dyDescent="0.35">
      <c r="B64">
        <v>111</v>
      </c>
    </row>
    <row r="65" spans="2:2" x14ac:dyDescent="0.35">
      <c r="B65">
        <v>267</v>
      </c>
    </row>
    <row r="66" spans="2:2" x14ac:dyDescent="0.35">
      <c r="B66">
        <v>455</v>
      </c>
    </row>
    <row r="67" spans="2:2" x14ac:dyDescent="0.35">
      <c r="B67">
        <v>531</v>
      </c>
    </row>
    <row r="68" spans="2:2" x14ac:dyDescent="0.35">
      <c r="B68">
        <v>355</v>
      </c>
    </row>
    <row r="69" spans="2:2" x14ac:dyDescent="0.35">
      <c r="B69">
        <v>180</v>
      </c>
    </row>
    <row r="70" spans="2:2" x14ac:dyDescent="0.35">
      <c r="B70">
        <v>66</v>
      </c>
    </row>
    <row r="71" spans="2:2" x14ac:dyDescent="0.35">
      <c r="B71">
        <v>16</v>
      </c>
    </row>
    <row r="72" spans="2:2" x14ac:dyDescent="0.35">
      <c r="B72">
        <v>3</v>
      </c>
    </row>
    <row r="73" spans="2:2" x14ac:dyDescent="0.35">
      <c r="B73">
        <v>0</v>
      </c>
    </row>
    <row r="74" spans="2:2" x14ac:dyDescent="0.35">
      <c r="B74">
        <v>0</v>
      </c>
    </row>
    <row r="75" spans="2:2" x14ac:dyDescent="0.35">
      <c r="B75">
        <v>0</v>
      </c>
    </row>
    <row r="76" spans="2:2" x14ac:dyDescent="0.35">
      <c r="B76">
        <v>0</v>
      </c>
    </row>
    <row r="77" spans="2:2" x14ac:dyDescent="0.35">
      <c r="B77">
        <v>0</v>
      </c>
    </row>
    <row r="78" spans="2:2" x14ac:dyDescent="0.35">
      <c r="B78">
        <v>2000</v>
      </c>
    </row>
    <row r="79" spans="2:2" x14ac:dyDescent="0.35">
      <c r="B79">
        <v>0</v>
      </c>
    </row>
    <row r="80" spans="2:2" x14ac:dyDescent="0.35">
      <c r="B80">
        <v>0</v>
      </c>
    </row>
    <row r="81" spans="2:2" x14ac:dyDescent="0.35">
      <c r="B81">
        <v>0</v>
      </c>
    </row>
    <row r="82" spans="2:2" x14ac:dyDescent="0.35">
      <c r="B82">
        <v>0</v>
      </c>
    </row>
    <row r="83" spans="2:2" x14ac:dyDescent="0.35">
      <c r="B83">
        <v>129</v>
      </c>
    </row>
    <row r="84" spans="2:2" x14ac:dyDescent="0.35">
      <c r="B84">
        <v>317</v>
      </c>
    </row>
    <row r="85" spans="2:2" x14ac:dyDescent="0.35">
      <c r="B85">
        <v>372</v>
      </c>
    </row>
    <row r="86" spans="2:2" x14ac:dyDescent="0.35">
      <c r="B86">
        <v>342</v>
      </c>
    </row>
    <row r="87" spans="2:2" x14ac:dyDescent="0.35">
      <c r="B87">
        <v>338</v>
      </c>
    </row>
    <row r="88" spans="2:2" x14ac:dyDescent="0.35">
      <c r="B88">
        <v>212</v>
      </c>
    </row>
    <row r="89" spans="2:2" x14ac:dyDescent="0.35">
      <c r="B89">
        <v>156</v>
      </c>
    </row>
    <row r="90" spans="2:2" x14ac:dyDescent="0.35">
      <c r="B90">
        <v>95</v>
      </c>
    </row>
    <row r="91" spans="2:2" x14ac:dyDescent="0.35">
      <c r="B91">
        <v>34</v>
      </c>
    </row>
    <row r="92" spans="2:2" x14ac:dyDescent="0.35">
      <c r="B92">
        <v>5</v>
      </c>
    </row>
    <row r="93" spans="2:2" x14ac:dyDescent="0.35">
      <c r="B93">
        <v>178</v>
      </c>
    </row>
    <row r="94" spans="2:2" x14ac:dyDescent="0.35">
      <c r="B94">
        <v>366</v>
      </c>
    </row>
    <row r="95" spans="2:2" x14ac:dyDescent="0.35">
      <c r="B95">
        <v>364</v>
      </c>
    </row>
    <row r="96" spans="2:2" x14ac:dyDescent="0.35">
      <c r="B96">
        <v>343</v>
      </c>
    </row>
    <row r="97" spans="2:2" x14ac:dyDescent="0.35">
      <c r="B97">
        <v>314</v>
      </c>
    </row>
    <row r="98" spans="2:2" x14ac:dyDescent="0.35">
      <c r="B98">
        <v>193</v>
      </c>
    </row>
    <row r="99" spans="2:2" x14ac:dyDescent="0.35">
      <c r="B99">
        <v>133</v>
      </c>
    </row>
    <row r="100" spans="2:2" x14ac:dyDescent="0.35">
      <c r="B100">
        <v>60</v>
      </c>
    </row>
    <row r="101" spans="2:2" x14ac:dyDescent="0.35">
      <c r="B101">
        <v>33</v>
      </c>
    </row>
    <row r="102" spans="2:2" x14ac:dyDescent="0.35">
      <c r="B102">
        <v>16</v>
      </c>
    </row>
    <row r="103" spans="2:2" x14ac:dyDescent="0.35">
      <c r="B103">
        <v>152</v>
      </c>
    </row>
    <row r="104" spans="2:2" x14ac:dyDescent="0.35">
      <c r="B104">
        <v>310</v>
      </c>
    </row>
    <row r="105" spans="2:2" x14ac:dyDescent="0.35">
      <c r="B105">
        <v>379</v>
      </c>
    </row>
    <row r="106" spans="2:2" x14ac:dyDescent="0.35">
      <c r="B106">
        <v>339</v>
      </c>
    </row>
    <row r="107" spans="2:2" x14ac:dyDescent="0.35">
      <c r="B107">
        <v>292</v>
      </c>
    </row>
    <row r="108" spans="2:2" x14ac:dyDescent="0.35">
      <c r="B108">
        <v>225</v>
      </c>
    </row>
    <row r="109" spans="2:2" x14ac:dyDescent="0.35">
      <c r="B109">
        <v>153</v>
      </c>
    </row>
    <row r="110" spans="2:2" x14ac:dyDescent="0.35">
      <c r="B110">
        <v>80</v>
      </c>
    </row>
    <row r="111" spans="2:2" x14ac:dyDescent="0.35">
      <c r="B111">
        <v>46</v>
      </c>
    </row>
    <row r="112" spans="2:2" x14ac:dyDescent="0.35">
      <c r="B112">
        <v>24</v>
      </c>
    </row>
    <row r="113" spans="2:2" x14ac:dyDescent="0.35">
      <c r="B113">
        <v>214</v>
      </c>
    </row>
    <row r="114" spans="2:2" x14ac:dyDescent="0.35">
      <c r="B114">
        <v>414</v>
      </c>
    </row>
    <row r="115" spans="2:2" x14ac:dyDescent="0.35">
      <c r="B115">
        <v>411</v>
      </c>
    </row>
    <row r="116" spans="2:2" x14ac:dyDescent="0.35">
      <c r="B116">
        <v>352</v>
      </c>
    </row>
    <row r="117" spans="2:2" x14ac:dyDescent="0.35">
      <c r="B117">
        <v>266</v>
      </c>
    </row>
    <row r="118" spans="2:2" x14ac:dyDescent="0.35">
      <c r="B118">
        <v>142</v>
      </c>
    </row>
    <row r="119" spans="2:2" x14ac:dyDescent="0.35">
      <c r="B119">
        <v>114</v>
      </c>
    </row>
    <row r="120" spans="2:2" x14ac:dyDescent="0.35">
      <c r="B120">
        <v>58</v>
      </c>
    </row>
    <row r="121" spans="2:2" x14ac:dyDescent="0.35">
      <c r="B121">
        <v>20</v>
      </c>
    </row>
    <row r="122" spans="2:2" x14ac:dyDescent="0.35">
      <c r="B122">
        <v>9</v>
      </c>
    </row>
    <row r="123" spans="2:2" x14ac:dyDescent="0.35">
      <c r="B123">
        <v>173</v>
      </c>
    </row>
    <row r="124" spans="2:2" x14ac:dyDescent="0.35">
      <c r="B124">
        <v>344</v>
      </c>
    </row>
    <row r="125" spans="2:2" x14ac:dyDescent="0.35">
      <c r="B125">
        <v>378</v>
      </c>
    </row>
    <row r="126" spans="2:2" x14ac:dyDescent="0.35">
      <c r="B126">
        <v>349</v>
      </c>
    </row>
    <row r="127" spans="2:2" x14ac:dyDescent="0.35">
      <c r="B127">
        <v>295</v>
      </c>
    </row>
    <row r="128" spans="2:2" x14ac:dyDescent="0.35">
      <c r="B128">
        <v>217</v>
      </c>
    </row>
    <row r="129" spans="2:2" x14ac:dyDescent="0.35">
      <c r="B129">
        <v>132</v>
      </c>
    </row>
    <row r="130" spans="2:2" x14ac:dyDescent="0.35">
      <c r="B130">
        <v>73</v>
      </c>
    </row>
    <row r="131" spans="2:2" x14ac:dyDescent="0.35">
      <c r="B131">
        <v>31</v>
      </c>
    </row>
    <row r="132" spans="2:2" x14ac:dyDescent="0.35">
      <c r="B132">
        <v>8</v>
      </c>
    </row>
    <row r="133" spans="2:2" x14ac:dyDescent="0.35">
      <c r="B133">
        <v>355</v>
      </c>
    </row>
    <row r="134" spans="2:2" x14ac:dyDescent="0.35">
      <c r="B134">
        <v>421</v>
      </c>
    </row>
    <row r="135" spans="2:2" x14ac:dyDescent="0.35">
      <c r="B135">
        <v>401</v>
      </c>
    </row>
    <row r="136" spans="2:2" x14ac:dyDescent="0.35">
      <c r="B136">
        <v>295</v>
      </c>
    </row>
    <row r="137" spans="2:2" x14ac:dyDescent="0.35">
      <c r="B137">
        <v>204</v>
      </c>
    </row>
    <row r="138" spans="2:2" x14ac:dyDescent="0.35">
      <c r="B138">
        <v>161</v>
      </c>
    </row>
    <row r="139" spans="2:2" x14ac:dyDescent="0.35">
      <c r="B139">
        <v>79</v>
      </c>
    </row>
    <row r="140" spans="2:2" x14ac:dyDescent="0.35">
      <c r="B140">
        <v>54</v>
      </c>
    </row>
    <row r="141" spans="2:2" x14ac:dyDescent="0.35">
      <c r="B141">
        <v>20</v>
      </c>
    </row>
    <row r="142" spans="2:2" x14ac:dyDescent="0.35">
      <c r="B142">
        <v>10</v>
      </c>
    </row>
    <row r="143" spans="2:2" x14ac:dyDescent="0.35">
      <c r="B143">
        <v>29</v>
      </c>
    </row>
    <row r="144" spans="2:2" x14ac:dyDescent="0.35">
      <c r="B144">
        <v>219</v>
      </c>
    </row>
    <row r="145" spans="2:2" x14ac:dyDescent="0.35">
      <c r="B145">
        <v>433</v>
      </c>
    </row>
    <row r="146" spans="2:2" x14ac:dyDescent="0.35">
      <c r="B146">
        <v>569</v>
      </c>
    </row>
    <row r="147" spans="2:2" x14ac:dyDescent="0.35">
      <c r="B147">
        <v>442</v>
      </c>
    </row>
    <row r="148" spans="2:2" x14ac:dyDescent="0.35">
      <c r="B148">
        <v>210</v>
      </c>
    </row>
    <row r="149" spans="2:2" x14ac:dyDescent="0.35">
      <c r="B149">
        <v>81</v>
      </c>
    </row>
    <row r="150" spans="2:2" x14ac:dyDescent="0.35">
      <c r="B150">
        <v>10</v>
      </c>
    </row>
    <row r="151" spans="2:2" x14ac:dyDescent="0.35">
      <c r="B151">
        <v>4</v>
      </c>
    </row>
    <row r="152" spans="2:2" x14ac:dyDescent="0.35">
      <c r="B152">
        <v>3</v>
      </c>
    </row>
    <row r="153" spans="2:2" x14ac:dyDescent="0.35">
      <c r="B153">
        <v>0</v>
      </c>
    </row>
    <row r="154" spans="2:2" x14ac:dyDescent="0.35">
      <c r="B154">
        <v>0</v>
      </c>
    </row>
    <row r="155" spans="2:2" x14ac:dyDescent="0.35">
      <c r="B155">
        <v>0</v>
      </c>
    </row>
    <row r="156" spans="2:2" x14ac:dyDescent="0.35">
      <c r="B156">
        <v>0</v>
      </c>
    </row>
    <row r="157" spans="2:2" x14ac:dyDescent="0.35">
      <c r="B157">
        <v>0</v>
      </c>
    </row>
    <row r="158" spans="2:2" x14ac:dyDescent="0.35">
      <c r="B158">
        <v>2000</v>
      </c>
    </row>
    <row r="159" spans="2:2" x14ac:dyDescent="0.35">
      <c r="B159">
        <v>0</v>
      </c>
    </row>
    <row r="160" spans="2:2" x14ac:dyDescent="0.35">
      <c r="B160">
        <v>0</v>
      </c>
    </row>
    <row r="161" spans="2:2" x14ac:dyDescent="0.35">
      <c r="B161">
        <v>0</v>
      </c>
    </row>
    <row r="162" spans="2:2" x14ac:dyDescent="0.35">
      <c r="B162">
        <v>0</v>
      </c>
    </row>
    <row r="163" spans="2:2" x14ac:dyDescent="0.35">
      <c r="B163">
        <v>176</v>
      </c>
    </row>
    <row r="164" spans="2:2" x14ac:dyDescent="0.35">
      <c r="B164">
        <v>336</v>
      </c>
    </row>
    <row r="165" spans="2:2" x14ac:dyDescent="0.35">
      <c r="B165">
        <v>379</v>
      </c>
    </row>
    <row r="166" spans="2:2" x14ac:dyDescent="0.35">
      <c r="B166">
        <v>360</v>
      </c>
    </row>
    <row r="167" spans="2:2" x14ac:dyDescent="0.35">
      <c r="B167">
        <v>274</v>
      </c>
    </row>
    <row r="168" spans="2:2" x14ac:dyDescent="0.35">
      <c r="B168">
        <v>189</v>
      </c>
    </row>
    <row r="169" spans="2:2" x14ac:dyDescent="0.35">
      <c r="B169">
        <v>154</v>
      </c>
    </row>
    <row r="170" spans="2:2" x14ac:dyDescent="0.35">
      <c r="B170">
        <v>81</v>
      </c>
    </row>
    <row r="171" spans="2:2" x14ac:dyDescent="0.35">
      <c r="B171">
        <v>41</v>
      </c>
    </row>
    <row r="172" spans="2:2" x14ac:dyDescent="0.35">
      <c r="B172">
        <v>10</v>
      </c>
    </row>
    <row r="173" spans="2:2" x14ac:dyDescent="0.35">
      <c r="B173">
        <v>104</v>
      </c>
    </row>
    <row r="174" spans="2:2" x14ac:dyDescent="0.35">
      <c r="B174">
        <v>249</v>
      </c>
    </row>
    <row r="175" spans="2:2" x14ac:dyDescent="0.35">
      <c r="B175">
        <v>315</v>
      </c>
    </row>
    <row r="176" spans="2:2" x14ac:dyDescent="0.35">
      <c r="B176">
        <v>359</v>
      </c>
    </row>
    <row r="177" spans="2:2" x14ac:dyDescent="0.35">
      <c r="B177">
        <v>306</v>
      </c>
    </row>
    <row r="178" spans="2:2" x14ac:dyDescent="0.35">
      <c r="B178">
        <v>276</v>
      </c>
    </row>
    <row r="179" spans="2:2" x14ac:dyDescent="0.35">
      <c r="B179">
        <v>214</v>
      </c>
    </row>
    <row r="180" spans="2:2" x14ac:dyDescent="0.35">
      <c r="B180">
        <v>118</v>
      </c>
    </row>
    <row r="181" spans="2:2" x14ac:dyDescent="0.35">
      <c r="B181">
        <v>46</v>
      </c>
    </row>
    <row r="182" spans="2:2" x14ac:dyDescent="0.35">
      <c r="B182">
        <v>13</v>
      </c>
    </row>
    <row r="183" spans="2:2" x14ac:dyDescent="0.35">
      <c r="B183">
        <v>149</v>
      </c>
    </row>
    <row r="184" spans="2:2" x14ac:dyDescent="0.35">
      <c r="B184">
        <v>301</v>
      </c>
    </row>
    <row r="185" spans="2:2" x14ac:dyDescent="0.35">
      <c r="B185">
        <v>398</v>
      </c>
    </row>
    <row r="186" spans="2:2" x14ac:dyDescent="0.35">
      <c r="B186">
        <v>359</v>
      </c>
    </row>
    <row r="187" spans="2:2" x14ac:dyDescent="0.35">
      <c r="B187">
        <v>300</v>
      </c>
    </row>
    <row r="188" spans="2:2" x14ac:dyDescent="0.35">
      <c r="B188">
        <v>202</v>
      </c>
    </row>
    <row r="189" spans="2:2" x14ac:dyDescent="0.35">
      <c r="B189">
        <v>174</v>
      </c>
    </row>
    <row r="190" spans="2:2" x14ac:dyDescent="0.35">
      <c r="B190">
        <v>82</v>
      </c>
    </row>
    <row r="191" spans="2:2" x14ac:dyDescent="0.35">
      <c r="B191">
        <v>27</v>
      </c>
    </row>
    <row r="192" spans="2:2" x14ac:dyDescent="0.35">
      <c r="B192">
        <v>8</v>
      </c>
    </row>
    <row r="193" spans="2:2" x14ac:dyDescent="0.35">
      <c r="B193">
        <v>236</v>
      </c>
    </row>
    <row r="194" spans="2:2" x14ac:dyDescent="0.35">
      <c r="B194">
        <v>303</v>
      </c>
    </row>
    <row r="195" spans="2:2" x14ac:dyDescent="0.35">
      <c r="B195">
        <v>391</v>
      </c>
    </row>
    <row r="196" spans="2:2" x14ac:dyDescent="0.35">
      <c r="B196">
        <v>355</v>
      </c>
    </row>
    <row r="197" spans="2:2" x14ac:dyDescent="0.35">
      <c r="B197">
        <v>260</v>
      </c>
    </row>
    <row r="198" spans="2:2" x14ac:dyDescent="0.35">
      <c r="B198">
        <v>200</v>
      </c>
    </row>
    <row r="199" spans="2:2" x14ac:dyDescent="0.35">
      <c r="B199">
        <v>124</v>
      </c>
    </row>
    <row r="200" spans="2:2" x14ac:dyDescent="0.35">
      <c r="B200">
        <v>78</v>
      </c>
    </row>
    <row r="201" spans="2:2" x14ac:dyDescent="0.35">
      <c r="B201">
        <v>32</v>
      </c>
    </row>
    <row r="202" spans="2:2" x14ac:dyDescent="0.35">
      <c r="B202">
        <v>21</v>
      </c>
    </row>
    <row r="203" spans="2:2" x14ac:dyDescent="0.35">
      <c r="B203">
        <v>83</v>
      </c>
    </row>
    <row r="204" spans="2:2" x14ac:dyDescent="0.35">
      <c r="B204">
        <v>216</v>
      </c>
    </row>
    <row r="205" spans="2:2" x14ac:dyDescent="0.35">
      <c r="B205">
        <v>305</v>
      </c>
    </row>
    <row r="206" spans="2:2" x14ac:dyDescent="0.35">
      <c r="B206">
        <v>362</v>
      </c>
    </row>
    <row r="207" spans="2:2" x14ac:dyDescent="0.35">
      <c r="B207">
        <v>351</v>
      </c>
    </row>
    <row r="208" spans="2:2" x14ac:dyDescent="0.35">
      <c r="B208">
        <v>280</v>
      </c>
    </row>
    <row r="209" spans="2:2" x14ac:dyDescent="0.35">
      <c r="B209">
        <v>220</v>
      </c>
    </row>
    <row r="210" spans="2:2" x14ac:dyDescent="0.35">
      <c r="B210">
        <v>107</v>
      </c>
    </row>
    <row r="211" spans="2:2" x14ac:dyDescent="0.35">
      <c r="B211">
        <v>52</v>
      </c>
    </row>
    <row r="212" spans="2:2" x14ac:dyDescent="0.35">
      <c r="B212">
        <v>24</v>
      </c>
    </row>
    <row r="213" spans="2:2" x14ac:dyDescent="0.35">
      <c r="B213">
        <v>190</v>
      </c>
    </row>
    <row r="214" spans="2:2" x14ac:dyDescent="0.35">
      <c r="B214">
        <v>350</v>
      </c>
    </row>
    <row r="215" spans="2:2" x14ac:dyDescent="0.35">
      <c r="B215">
        <v>375</v>
      </c>
    </row>
    <row r="216" spans="2:2" x14ac:dyDescent="0.35">
      <c r="B216">
        <v>342</v>
      </c>
    </row>
    <row r="217" spans="2:2" x14ac:dyDescent="0.35">
      <c r="B217">
        <v>275</v>
      </c>
    </row>
    <row r="218" spans="2:2" x14ac:dyDescent="0.35">
      <c r="B218">
        <v>203</v>
      </c>
    </row>
    <row r="219" spans="2:2" x14ac:dyDescent="0.35">
      <c r="B219">
        <v>147</v>
      </c>
    </row>
    <row r="220" spans="2:2" x14ac:dyDescent="0.35">
      <c r="B220">
        <v>78</v>
      </c>
    </row>
    <row r="221" spans="2:2" x14ac:dyDescent="0.35">
      <c r="B221">
        <v>34</v>
      </c>
    </row>
    <row r="222" spans="2:2" x14ac:dyDescent="0.35">
      <c r="B222">
        <v>6</v>
      </c>
    </row>
    <row r="223" spans="2:2" x14ac:dyDescent="0.35">
      <c r="B223">
        <v>46</v>
      </c>
    </row>
    <row r="224" spans="2:2" x14ac:dyDescent="0.35">
      <c r="B224">
        <v>193</v>
      </c>
    </row>
    <row r="225" spans="2:2" x14ac:dyDescent="0.35">
      <c r="B225">
        <v>345</v>
      </c>
    </row>
    <row r="226" spans="2:2" x14ac:dyDescent="0.35">
      <c r="B226">
        <v>456</v>
      </c>
    </row>
    <row r="227" spans="2:2" x14ac:dyDescent="0.35">
      <c r="B227">
        <v>425</v>
      </c>
    </row>
    <row r="228" spans="2:2" x14ac:dyDescent="0.35">
      <c r="B228">
        <v>289</v>
      </c>
    </row>
    <row r="229" spans="2:2" x14ac:dyDescent="0.35">
      <c r="B229">
        <v>155</v>
      </c>
    </row>
    <row r="230" spans="2:2" x14ac:dyDescent="0.35">
      <c r="B230">
        <v>64</v>
      </c>
    </row>
    <row r="231" spans="2:2" x14ac:dyDescent="0.35">
      <c r="B231">
        <v>21</v>
      </c>
    </row>
    <row r="232" spans="2:2" x14ac:dyDescent="0.35">
      <c r="B232">
        <v>6</v>
      </c>
    </row>
    <row r="233" spans="2:2" x14ac:dyDescent="0.35">
      <c r="B233">
        <v>0</v>
      </c>
    </row>
    <row r="234" spans="2:2" x14ac:dyDescent="0.35">
      <c r="B234">
        <v>0</v>
      </c>
    </row>
    <row r="235" spans="2:2" x14ac:dyDescent="0.35">
      <c r="B235">
        <v>0</v>
      </c>
    </row>
    <row r="236" spans="2:2" x14ac:dyDescent="0.35">
      <c r="B236">
        <v>0</v>
      </c>
    </row>
    <row r="237" spans="2:2" x14ac:dyDescent="0.35">
      <c r="B237">
        <v>0</v>
      </c>
    </row>
    <row r="238" spans="2:2" x14ac:dyDescent="0.35">
      <c r="B238">
        <v>2000</v>
      </c>
    </row>
    <row r="239" spans="2:2" x14ac:dyDescent="0.35">
      <c r="B239">
        <v>0</v>
      </c>
    </row>
    <row r="240" spans="2:2" x14ac:dyDescent="0.35">
      <c r="B240">
        <v>0</v>
      </c>
    </row>
    <row r="241" spans="2:2" x14ac:dyDescent="0.35">
      <c r="B241">
        <v>0</v>
      </c>
    </row>
    <row r="242" spans="2:2" x14ac:dyDescent="0.35">
      <c r="B242">
        <v>0</v>
      </c>
    </row>
    <row r="243" spans="2:2" x14ac:dyDescent="0.35">
      <c r="B243">
        <v>569</v>
      </c>
    </row>
    <row r="244" spans="2:2" x14ac:dyDescent="0.35">
      <c r="B244">
        <v>476</v>
      </c>
    </row>
    <row r="245" spans="2:2" x14ac:dyDescent="0.35">
      <c r="B245">
        <v>372</v>
      </c>
    </row>
    <row r="246" spans="2:2" x14ac:dyDescent="0.35">
      <c r="B246">
        <v>228</v>
      </c>
    </row>
    <row r="247" spans="2:2" x14ac:dyDescent="0.35">
      <c r="B247">
        <v>140</v>
      </c>
    </row>
    <row r="248" spans="2:2" x14ac:dyDescent="0.35">
      <c r="B248">
        <v>108</v>
      </c>
    </row>
    <row r="249" spans="2:2" x14ac:dyDescent="0.35">
      <c r="B249">
        <v>47</v>
      </c>
    </row>
    <row r="250" spans="2:2" x14ac:dyDescent="0.35">
      <c r="B250">
        <v>27</v>
      </c>
    </row>
    <row r="251" spans="2:2" x14ac:dyDescent="0.35">
      <c r="B251">
        <v>21</v>
      </c>
    </row>
    <row r="252" spans="2:2" x14ac:dyDescent="0.35">
      <c r="B252">
        <v>12</v>
      </c>
    </row>
    <row r="253" spans="2:2" x14ac:dyDescent="0.35">
      <c r="B253">
        <v>344</v>
      </c>
    </row>
    <row r="254" spans="2:2" x14ac:dyDescent="0.35">
      <c r="B254">
        <v>461</v>
      </c>
    </row>
    <row r="255" spans="2:2" x14ac:dyDescent="0.35">
      <c r="B255">
        <v>376</v>
      </c>
    </row>
    <row r="256" spans="2:2" x14ac:dyDescent="0.35">
      <c r="B256">
        <v>308</v>
      </c>
    </row>
    <row r="257" spans="2:2" x14ac:dyDescent="0.35">
      <c r="B257">
        <v>237</v>
      </c>
    </row>
    <row r="258" spans="2:2" x14ac:dyDescent="0.35">
      <c r="B258">
        <v>141</v>
      </c>
    </row>
    <row r="259" spans="2:2" x14ac:dyDescent="0.35">
      <c r="B259">
        <v>75</v>
      </c>
    </row>
    <row r="260" spans="2:2" x14ac:dyDescent="0.35">
      <c r="B260">
        <v>40</v>
      </c>
    </row>
    <row r="261" spans="2:2" x14ac:dyDescent="0.35">
      <c r="B261">
        <v>13</v>
      </c>
    </row>
    <row r="262" spans="2:2" x14ac:dyDescent="0.35">
      <c r="B262">
        <v>5</v>
      </c>
    </row>
    <row r="263" spans="2:2" x14ac:dyDescent="0.35">
      <c r="B263">
        <v>51</v>
      </c>
    </row>
    <row r="264" spans="2:2" x14ac:dyDescent="0.35">
      <c r="B264">
        <v>146</v>
      </c>
    </row>
    <row r="265" spans="2:2" x14ac:dyDescent="0.35">
      <c r="B265">
        <v>275</v>
      </c>
    </row>
    <row r="266" spans="2:2" x14ac:dyDescent="0.35">
      <c r="B266">
        <v>337</v>
      </c>
    </row>
    <row r="267" spans="2:2" x14ac:dyDescent="0.35">
      <c r="B267">
        <v>329</v>
      </c>
    </row>
    <row r="268" spans="2:2" x14ac:dyDescent="0.35">
      <c r="B268">
        <v>326</v>
      </c>
    </row>
    <row r="269" spans="2:2" x14ac:dyDescent="0.35">
      <c r="B269">
        <v>237</v>
      </c>
    </row>
    <row r="270" spans="2:2" x14ac:dyDescent="0.35">
      <c r="B270">
        <v>192</v>
      </c>
    </row>
    <row r="271" spans="2:2" x14ac:dyDescent="0.35">
      <c r="B271">
        <v>86</v>
      </c>
    </row>
    <row r="272" spans="2:2" x14ac:dyDescent="0.35">
      <c r="B272">
        <v>21</v>
      </c>
    </row>
    <row r="273" spans="2:2" x14ac:dyDescent="0.35">
      <c r="B273">
        <v>59</v>
      </c>
    </row>
    <row r="274" spans="2:2" x14ac:dyDescent="0.35">
      <c r="B274">
        <v>167</v>
      </c>
    </row>
    <row r="275" spans="2:2" x14ac:dyDescent="0.35">
      <c r="B275">
        <v>254</v>
      </c>
    </row>
    <row r="276" spans="2:2" x14ac:dyDescent="0.35">
      <c r="B276">
        <v>314</v>
      </c>
    </row>
    <row r="277" spans="2:2" x14ac:dyDescent="0.35">
      <c r="B277">
        <v>379</v>
      </c>
    </row>
    <row r="278" spans="2:2" x14ac:dyDescent="0.35">
      <c r="B278">
        <v>318</v>
      </c>
    </row>
    <row r="279" spans="2:2" x14ac:dyDescent="0.35">
      <c r="B279">
        <v>239</v>
      </c>
    </row>
    <row r="280" spans="2:2" x14ac:dyDescent="0.35">
      <c r="B280">
        <v>164</v>
      </c>
    </row>
    <row r="281" spans="2:2" x14ac:dyDescent="0.35">
      <c r="B281">
        <v>74</v>
      </c>
    </row>
    <row r="282" spans="2:2" x14ac:dyDescent="0.35">
      <c r="B282">
        <v>32</v>
      </c>
    </row>
    <row r="283" spans="2:2" x14ac:dyDescent="0.35">
      <c r="B283">
        <v>73</v>
      </c>
    </row>
    <row r="284" spans="2:2" x14ac:dyDescent="0.35">
      <c r="B284">
        <v>176</v>
      </c>
    </row>
    <row r="285" spans="2:2" x14ac:dyDescent="0.35">
      <c r="B285">
        <v>245</v>
      </c>
    </row>
    <row r="286" spans="2:2" x14ac:dyDescent="0.35">
      <c r="B286">
        <v>338</v>
      </c>
    </row>
    <row r="287" spans="2:2" x14ac:dyDescent="0.35">
      <c r="B287">
        <v>360</v>
      </c>
    </row>
    <row r="288" spans="2:2" x14ac:dyDescent="0.35">
      <c r="B288">
        <v>295</v>
      </c>
    </row>
    <row r="289" spans="2:2" x14ac:dyDescent="0.35">
      <c r="B289">
        <v>259</v>
      </c>
    </row>
    <row r="290" spans="2:2" x14ac:dyDescent="0.35">
      <c r="B290">
        <v>164</v>
      </c>
    </row>
    <row r="291" spans="2:2" x14ac:dyDescent="0.35">
      <c r="B291">
        <v>64</v>
      </c>
    </row>
    <row r="292" spans="2:2" x14ac:dyDescent="0.35">
      <c r="B292">
        <v>26</v>
      </c>
    </row>
    <row r="293" spans="2:2" x14ac:dyDescent="0.35">
      <c r="B293">
        <v>431</v>
      </c>
    </row>
    <row r="294" spans="2:2" x14ac:dyDescent="0.35">
      <c r="B294">
        <v>473</v>
      </c>
    </row>
    <row r="295" spans="2:2" x14ac:dyDescent="0.35">
      <c r="B295">
        <v>367</v>
      </c>
    </row>
    <row r="296" spans="2:2" x14ac:dyDescent="0.35">
      <c r="B296">
        <v>282</v>
      </c>
    </row>
    <row r="297" spans="2:2" x14ac:dyDescent="0.35">
      <c r="B297">
        <v>173</v>
      </c>
    </row>
    <row r="298" spans="2:2" x14ac:dyDescent="0.35">
      <c r="B298">
        <v>134</v>
      </c>
    </row>
    <row r="299" spans="2:2" x14ac:dyDescent="0.35">
      <c r="B299">
        <v>80</v>
      </c>
    </row>
    <row r="300" spans="2:2" x14ac:dyDescent="0.35">
      <c r="B300">
        <v>39</v>
      </c>
    </row>
    <row r="301" spans="2:2" x14ac:dyDescent="0.35">
      <c r="B301">
        <v>16</v>
      </c>
    </row>
    <row r="302" spans="2:2" x14ac:dyDescent="0.35">
      <c r="B302">
        <v>5</v>
      </c>
    </row>
    <row r="303" spans="2:2" x14ac:dyDescent="0.35">
      <c r="B303">
        <v>55</v>
      </c>
    </row>
    <row r="304" spans="2:2" x14ac:dyDescent="0.35">
      <c r="B304">
        <v>230</v>
      </c>
    </row>
    <row r="305" spans="2:2" x14ac:dyDescent="0.35">
      <c r="B305">
        <v>462</v>
      </c>
    </row>
    <row r="306" spans="2:2" x14ac:dyDescent="0.35">
      <c r="B306">
        <v>515</v>
      </c>
    </row>
    <row r="307" spans="2:2" x14ac:dyDescent="0.35">
      <c r="B307">
        <v>396</v>
      </c>
    </row>
    <row r="308" spans="2:2" x14ac:dyDescent="0.35">
      <c r="B308">
        <v>210</v>
      </c>
    </row>
    <row r="309" spans="2:2" x14ac:dyDescent="0.35">
      <c r="B309">
        <v>84</v>
      </c>
    </row>
    <row r="310" spans="2:2" x14ac:dyDescent="0.35">
      <c r="B310">
        <v>35</v>
      </c>
    </row>
    <row r="311" spans="2:2" x14ac:dyDescent="0.35">
      <c r="B311">
        <v>11</v>
      </c>
    </row>
    <row r="312" spans="2:2" x14ac:dyDescent="0.35">
      <c r="B312">
        <v>2</v>
      </c>
    </row>
    <row r="313" spans="2:2" x14ac:dyDescent="0.35">
      <c r="B313">
        <v>0</v>
      </c>
    </row>
    <row r="314" spans="2:2" x14ac:dyDescent="0.35">
      <c r="B314">
        <v>0</v>
      </c>
    </row>
    <row r="315" spans="2:2" x14ac:dyDescent="0.35">
      <c r="B315">
        <v>0</v>
      </c>
    </row>
    <row r="316" spans="2:2" x14ac:dyDescent="0.35">
      <c r="B316">
        <v>0</v>
      </c>
    </row>
    <row r="317" spans="2:2" x14ac:dyDescent="0.35">
      <c r="B317">
        <v>0</v>
      </c>
    </row>
    <row r="318" spans="2:2" x14ac:dyDescent="0.35">
      <c r="B318">
        <v>2000</v>
      </c>
    </row>
    <row r="319" spans="2:2" x14ac:dyDescent="0.35">
      <c r="B319">
        <v>0</v>
      </c>
    </row>
    <row r="320" spans="2:2" x14ac:dyDescent="0.35">
      <c r="B320">
        <v>0</v>
      </c>
    </row>
    <row r="321" spans="2:2" x14ac:dyDescent="0.35">
      <c r="B321">
        <v>0</v>
      </c>
    </row>
    <row r="322" spans="2:2" x14ac:dyDescent="0.35">
      <c r="B3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Ransomware</vt:lpstr>
      <vt:lpstr>Evasion</vt:lpstr>
      <vt:lpstr>Poisoning</vt:lpstr>
      <vt:lpstr>Privacy</vt:lpstr>
      <vt:lpstr>ModelRiskDSN</vt:lpstr>
      <vt:lpstr>ModelRiskSYS1</vt:lpstr>
      <vt:lpstr>ModelRiskCharts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Jasmita Malik</dc:creator>
  <cp:lastModifiedBy>Jasmita Malik</cp:lastModifiedBy>
  <dcterms:created xsi:type="dcterms:W3CDTF">2024-10-13T10:59:50Z</dcterms:created>
  <dcterms:modified xsi:type="dcterms:W3CDTF">2025-11-14T04:52:50Z</dcterms:modified>
</cp:coreProperties>
</file>